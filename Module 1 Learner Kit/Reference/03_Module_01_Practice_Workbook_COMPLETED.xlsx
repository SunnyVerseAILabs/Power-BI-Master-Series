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_Here" sheetId="1" state="visible" r:id="rId1"/>
    <sheet xmlns:r="http://schemas.openxmlformats.org/officeDocument/2006/relationships" name="Requirements" sheetId="2" state="visible" r:id="rId2"/>
    <sheet xmlns:r="http://schemas.openxmlformats.org/officeDocument/2006/relationships" name="Metric_Cards" sheetId="3" state="visible" r:id="rId3"/>
    <sheet xmlns:r="http://schemas.openxmlformats.org/officeDocument/2006/relationships" name="Data_Quality_Audit" sheetId="4" state="visible" r:id="rId4"/>
    <sheet xmlns:r="http://schemas.openxmlformats.org/officeDocument/2006/relationships" name="Field_Classification" sheetId="5" state="visible" r:id="rId5"/>
    <sheet xmlns:r="http://schemas.openxmlformats.org/officeDocument/2006/relationships" name="Wireframe_Plan" sheetId="6" state="visible" r:id="rId6"/>
    <sheet xmlns:r="http://schemas.openxmlformats.org/officeDocument/2006/relationships" name="KPI_Tree" sheetId="7" state="visible" r:id="rId7"/>
    <sheet xmlns:r="http://schemas.openxmlformats.org/officeDocument/2006/relationships" name="Weighting_Lab" sheetId="8" state="visible" r:id="rId8"/>
    <sheet xmlns:r="http://schemas.openxmlformats.org/officeDocument/2006/relationships" name="Simpson_Lab" sheetId="9" state="visible" r:id="rId9"/>
    <sheet xmlns:r="http://schemas.openxmlformats.org/officeDocument/2006/relationships" name="Validation_Scratchpad" sheetId="10" state="visible" r:id="rId10"/>
    <sheet xmlns:r="http://schemas.openxmlformats.org/officeDocument/2006/relationships" name="Glossary_Starter" sheetId="11" state="visible" r:id="rId11"/>
    <sheet xmlns:r="http://schemas.openxmlformats.org/officeDocument/2006/relationships" name="Data_Dictionary_Starter" sheetId="12" state="visible" r:id="rId12"/>
    <sheet xmlns:r="http://schemas.openxmlformats.org/officeDocument/2006/relationships" name="Fact_Type_Awareness" sheetId="13" state="visible" r:id="rId13"/>
    <sheet xmlns:r="http://schemas.openxmlformats.org/officeDocument/2006/relationships" name="KPI_Design" sheetId="14" state="visible" r:id="rId14"/>
    <sheet xmlns:r="http://schemas.openxmlformats.org/officeDocument/2006/relationships" name="Time_Units" sheetId="15" state="visible" r:id="rId15"/>
    <sheet xmlns:r="http://schemas.openxmlformats.org/officeDocument/2006/relationships" name="Reasoning_Scenarios" sheetId="16" state="visible" r:id="rId16"/>
    <sheet xmlns:r="http://schemas.openxmlformats.org/officeDocument/2006/relationships" name="Data_Responsibility" sheetId="17" state="visible" r:id="rId17"/>
    <sheet xmlns:r="http://schemas.openxmlformats.org/officeDocument/2006/relationships" name="Checkpoint_Tracker" sheetId="18" state="visible" r:id="rId18"/>
    <sheet xmlns:r="http://schemas.openxmlformats.org/officeDocument/2006/relationships" name="Final_Region_Reconciliation" sheetId="19" state="visible" r:id="rId19"/>
    <sheet xmlns:r="http://schemas.openxmlformats.org/officeDocument/2006/relationships" name="Challenge_Response" sheetId="20" state="visible" r:id="rId20"/>
    <sheet xmlns:r="http://schemas.openxmlformats.org/officeDocument/2006/relationships" name="Knowledge_Check_Answers" sheetId="21" state="visible" r:id="rId21"/>
  </sheets>
  <definedNames/>
</workbook>
</file>

<file path=xl/styles.xml><?xml version="1.0" encoding="utf-8"?>
<styleSheet xmlns="http://schemas.openxmlformats.org/spreadsheetml/2006/main">
  <numFmts count="4">
    <numFmt numFmtId="164" formatCode="#,##0 &quot;MW&quot;"/>
    <numFmt numFmtId="165" formatCode="#,##0 &quot;MWh&quot;"/>
    <numFmt numFmtId="166" formatCode="#,##0.00 &quot;MWh&quot;"/>
    <numFmt numFmtId="167" formatCode="0.0000%"/>
  </numFmts>
  <fonts count="5">
    <font>
      <name val="Carlito"/>
      <sz val="11"/>
    </font>
    <font>
      <name val="Carlito"/>
      <b val="1"/>
      <color rgb="FFFFFFFF"/>
      <sz val="16"/>
    </font>
    <font>
      <name val="Carlito"/>
      <b val="1"/>
      <color rgb="FF17365D"/>
      <sz val="11"/>
    </font>
    <font>
      <name val="Carlito"/>
      <b val="1"/>
      <color rgb="FFFFFFFF"/>
      <sz val="11"/>
    </font>
    <font>
      <name val="Carlito"/>
      <b val="1"/>
    </font>
  </fonts>
  <fills count="7">
    <fill>
      <patternFill/>
    </fill>
    <fill>
      <patternFill patternType="gray125"/>
    </fill>
    <fill>
      <patternFill patternType="solid">
        <fgColor rgb="FF17365D"/>
      </patternFill>
    </fill>
    <fill>
      <patternFill patternType="solid">
        <fgColor rgb="FFD9EAF7"/>
      </patternFill>
    </fill>
    <fill>
      <patternFill patternType="solid">
        <fgColor rgb="FF17365D"/>
      </patternFill>
    </fill>
    <fill>
      <patternFill patternType="solid">
        <fgColor rgb="FFD9EAF7"/>
      </patternFill>
    </fill>
    <fill>
      <patternFill patternType="solid">
        <fgColor rgb="FF17365D"/>
      </patternFill>
    </fill>
  </fills>
  <borders count="2">
    <border/>
    <border/>
  </borders>
  <cellStyleXfs count="1">
    <xf numFmtId="0" fontId="0" fillId="0" borderId="1"/>
  </cellStyleXfs>
  <cellXfs count="5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1" fillId="2" borderId="0" applyAlignment="1" pivotButton="0" quotePrefix="0" xfId="0">
      <alignment horizontal="center" wrapText="1"/>
    </xf>
    <xf numFmtId="0" fontId="0" fillId="0" borderId="0" applyAlignment="1" pivotButton="0" quotePrefix="0" xfId="0">
      <alignment wrapText="1"/>
    </xf>
    <xf numFmtId="0" fontId="1" fillId="2" borderId="1" applyAlignment="1" pivotButton="0" quotePrefix="0" xfId="0">
      <alignment horizontal="center" wrapText="1"/>
    </xf>
    <xf numFmtId="0" fontId="0" fillId="0" borderId="1" applyAlignment="1" pivotButton="0" quotePrefix="0" xfId="0">
      <alignment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10" fontId="0" fillId="0" borderId="0" pivotButton="0" quotePrefix="0" xfId="0"/>
    <xf numFmtId="10" fontId="0" fillId="0" borderId="1" pivotButton="0" quotePrefix="0" xfId="0"/>
    <xf numFmtId="0" fontId="0" fillId="0" borderId="0" pivotButton="0" quotePrefix="0" xfId="0"/>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5" borderId="0" applyAlignment="1" pivotButton="0" quotePrefix="0" xfId="0">
      <alignment wrapText="1"/>
    </xf>
    <xf numFmtId="0" fontId="0" fillId="5" borderId="0" pivotButton="0" quotePrefix="0" xfId="0"/>
    <xf numFmtId="0" fontId="2" fillId="5" borderId="0" pivotButton="0" quotePrefix="0" xfId="0"/>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0" fillId="0" borderId="0" applyAlignment="1" pivotButton="0" quotePrefix="0" xfId="0">
      <alignment vertical="top" wrapText="1"/>
    </xf>
    <xf numFmtId="10"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4" fillId="0" borderId="0" pivotButton="0" quotePrefix="0" xfId="0"/>
    <xf numFmtId="0" fontId="0" fillId="0" borderId="1" applyAlignment="1" pivotButton="0" quotePrefix="0" xfId="0">
      <alignment vertical="top" wrapText="1"/>
    </xf>
    <xf numFmtId="0" fontId="3" fillId="6" borderId="0" applyAlignment="1" pivotButton="0" quotePrefix="0" xfId="0">
      <alignment vertical="center" wrapText="1"/>
    </xf>
    <xf numFmtId="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4" customWidth="1" style="28" min="1" max="1"/>
    <col width="72" customWidth="1" style="28" min="2" max="2"/>
  </cols>
  <sheetData>
    <row r="1">
      <c r="A1" s="16" t="inlineStr">
        <is>
          <t>SunnyVerse Renewable Group — Module 1 Practice Workbook</t>
        </is>
      </c>
      <c r="B1" s="1" t="n"/>
      <c r="C1" s="1" t="n"/>
      <c r="D1" s="1" t="n"/>
      <c r="E1" s="1" t="n"/>
      <c r="F1" s="1" t="n"/>
    </row>
    <row r="2">
      <c r="A2" s="15" t="n"/>
      <c r="B2" s="15" t="n"/>
      <c r="C2" s="15" t="n"/>
      <c r="D2" s="15" t="n"/>
      <c r="E2" s="15" t="n"/>
      <c r="F2" s="15" t="n"/>
    </row>
    <row r="3">
      <c r="A3" s="34" t="inlineStr">
        <is>
          <t>Purpose</t>
        </is>
      </c>
      <c r="B3" s="15" t="inlineStr">
        <is>
          <t>This is your working workbook for Module One. Use it to record requirements, definitions, quality findings, classifications, reasoning, and checkpoint results while following the Detailed Build Guide.</t>
        </is>
      </c>
      <c r="C3" s="15" t="n"/>
      <c r="D3" s="15" t="n"/>
      <c r="E3" s="15" t="n"/>
      <c r="F3" s="15" t="n"/>
    </row>
    <row r="4">
      <c r="A4" s="34" t="inlineStr">
        <is>
          <t>What it is not</t>
        </is>
      </c>
      <c r="B4" s="15" t="inlineStr">
        <is>
          <t>It is not source data. Do not move it into Source_Files or treat it as an authoritative data source.</t>
        </is>
      </c>
      <c r="C4" s="15" t="n"/>
      <c r="D4" s="15" t="n"/>
      <c r="E4" s="15" t="n"/>
      <c r="F4" s="15" t="n"/>
    </row>
    <row r="5">
      <c r="A5" s="34" t="inlineStr">
        <is>
          <t>Reference period</t>
        </is>
      </c>
      <c r="B5" s="15" t="inlineStr">
        <is>
          <t>September 1–30, 2026.</t>
        </is>
      </c>
      <c r="C5" s="15" t="n"/>
      <c r="D5" s="15" t="n"/>
      <c r="E5" s="15" t="n"/>
      <c r="F5" s="15" t="n"/>
    </row>
    <row r="6">
      <c r="A6" s="34" t="inlineStr">
        <is>
          <t>Generation Variance</t>
        </is>
      </c>
      <c r="B6" s="15" t="inlineStr">
        <is>
          <t>Actual Generation - Forecast Generation.</t>
        </is>
      </c>
      <c r="C6" s="15" t="n"/>
      <c r="D6" s="15" t="n"/>
      <c r="E6" s="15" t="n"/>
      <c r="F6" s="15" t="n"/>
    </row>
    <row r="7">
      <c r="A7" s="34" t="inlineStr">
        <is>
          <t>Generation Variance %</t>
        </is>
      </c>
      <c r="B7" s="15" t="inlineStr">
        <is>
          <t>(Actual - Forecast) / Forecast.</t>
        </is>
      </c>
      <c r="C7" s="15" t="n"/>
      <c r="D7" s="15" t="n"/>
      <c r="E7" s="15" t="n"/>
      <c r="F7" s="15" t="n"/>
    </row>
    <row r="8">
      <c r="A8" s="34" t="inlineStr">
        <is>
          <t>Target Attainment</t>
        </is>
      </c>
      <c r="B8" s="15" t="inlineStr">
        <is>
          <t>Actual Generation / Target Generation.</t>
        </is>
      </c>
      <c r="C8" s="15" t="n"/>
      <c r="D8" s="15" t="n"/>
      <c r="E8" s="15" t="n"/>
      <c r="F8" s="15" t="n"/>
    </row>
    <row r="9">
      <c r="A9" s="34" t="inlineStr">
        <is>
          <t>Validation rule</t>
        </is>
      </c>
      <c r="B9" s="15" t="inlineStr">
        <is>
          <t>Use the stage validations in the Detailed Build Guide as you progress. Open the Validation folder only for the final reconciliation stage.</t>
        </is>
      </c>
    </row>
    <row r="11">
      <c r="A11" s="42" t="inlineStr">
        <is>
          <t>Completion record</t>
        </is>
      </c>
      <c r="B11" s="42" t="inlineStr">
        <is>
          <t>Completed against the Detailed Build Guide Parts 1–12. Every stage validation and the final reconciliation (Validation_Scratchpad, Final_Region_Reconciliation) passed. Model answers are written in the learner work-product voice; cite the underlying Source_Files evidence, not this workbook.</t>
        </is>
      </c>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1" customWidth="1" style="28" min="1" max="1"/>
    <col width="18" customWidth="1" style="28" min="2" max="2"/>
    <col width="34" customWidth="1" style="28" min="3" max="3"/>
    <col width="30" customWidth="1" style="28" min="4" max="4"/>
    <col width="32" customWidth="1" style="28" min="5" max="5"/>
    <col width="9" customWidth="1" style="28" min="6" max="6"/>
    <col width="42" customWidth="1" style="28" min="7" max="7"/>
    <col width="30" customWidth="1" style="28" min="8" max="8"/>
    <col width="12" customWidth="1" style="28" min="9" max="9"/>
  </cols>
  <sheetData>
    <row r="1">
      <c r="A1" s="21" t="inlineStr">
        <is>
          <t>RequirementID</t>
        </is>
      </c>
      <c r="B1" s="21" t="inlineStr">
        <is>
          <t>Stakeholder</t>
        </is>
      </c>
      <c r="C1" s="21" t="inlineStr">
        <is>
          <t>StatedRequest</t>
        </is>
      </c>
      <c r="D1" s="21" t="inlineStr">
        <is>
          <t>UnderlyingDecision</t>
        </is>
      </c>
      <c r="E1" s="21" t="inlineStr">
        <is>
          <t>AnalyticalQuestion</t>
        </is>
      </c>
      <c r="F1" s="21" t="inlineStr">
        <is>
          <t>Priority</t>
        </is>
      </c>
      <c r="G1" s="21" t="inlineStr">
        <is>
          <t>AcceptanceCriterion</t>
        </is>
      </c>
      <c r="H1" s="21" t="inlineStr">
        <is>
          <t>SourceAuthority</t>
        </is>
      </c>
      <c r="I1" s="21" t="inlineStr">
        <is>
          <t>Status</t>
        </is>
      </c>
    </row>
    <row r="2">
      <c r="A2" s="42" t="inlineStr">
        <is>
          <t>REQ-01</t>
        </is>
      </c>
      <c r="B2" s="42" t="inlineStr">
        <is>
          <t>Chief Operating Officer</t>
        </is>
      </c>
      <c r="C2" s="42" t="inlineStr">
        <is>
          <t>One view showing whether the renewable portfolio is performing, which regions are behind expectation, and where operations should investigate; no arguing about whose spreadsheet is right.</t>
        </is>
      </c>
      <c r="D2" s="42" t="inlineStr">
        <is>
          <t>Decide whether portfolio or regional performance needs investigation, and ensure everyone uses one governed definition.</t>
        </is>
      </c>
      <c r="E2" s="42" t="inlineStr">
        <is>
          <t>Which regions are above or below forecast and target during September 2026, and which require follow-up?</t>
        </is>
      </c>
      <c r="F2" s="42" t="inlineStr">
        <is>
          <t>Must</t>
        </is>
      </c>
      <c r="G2" s="42" t="inlineStr">
        <is>
          <t>The output shows Actual, Forecast, Variance, Variance %, Target and Target Attainment by region; totals reconcile to the authoritative values (677,383.40 / 676,799.28 / 686,951.28 MWh); definitions and source authority are documented.</t>
        </is>
      </c>
      <c r="H2" s="42" t="inlineStr">
        <is>
          <t>Actual/forecast/target sources plus governed metric definitions (Metric_Cards).</t>
        </is>
      </c>
      <c r="I2" s="42" t="inlineStr">
        <is>
          <t>Validated</t>
        </is>
      </c>
    </row>
    <row r="3">
      <c r="A3" s="42" t="inlineStr">
        <is>
          <t>REQ-02</t>
        </is>
      </c>
      <c r="B3" s="42" t="inlineStr">
        <is>
          <t>Head of Forecasting</t>
        </is>
      </c>
      <c r="C3" s="42" t="inlineStr">
        <is>
          <t>Actual vs forecast matters, but do not call forecast a target.</t>
        </is>
      </c>
      <c r="D3" s="42" t="inlineStr">
        <is>
          <t>Evaluate forecast performance without confusing expected production with a business objective.</t>
        </is>
      </c>
      <c r="E3" s="42" t="inlineStr">
        <is>
          <t>How did actual generation compare with forecast by region and portfolio for September 2026?</t>
        </is>
      </c>
      <c r="F3" s="42" t="inlineStr">
        <is>
          <t>Must</t>
        </is>
      </c>
      <c r="G3" s="42" t="inlineStr">
        <is>
          <t>Generation Variance = Actual − Forecast and Variance % = Variance ÷ Forecast use Forecast as baseline and denominator; forecast is labelled expectation, never target.</t>
        </is>
      </c>
      <c r="H3" s="42" t="inlineStr">
        <is>
          <t>Forecast_Daily_Raw.csv (after quality validation) and validated actual generation.</t>
        </is>
      </c>
      <c r="I3" s="42" t="inlineStr">
        <is>
          <t>Validated</t>
        </is>
      </c>
    </row>
    <row r="4">
      <c r="A4" s="42" t="inlineStr">
        <is>
          <t>REQ-03</t>
        </is>
      </c>
      <c r="B4" s="42" t="inlineStr">
        <is>
          <t>Finance Business Partner</t>
        </is>
      </c>
      <c r="C4" s="42" t="inlineStr">
        <is>
          <t>Target attainment and portfolio context; technical nameplate capacity must come from Operations &amp; Engineering.</t>
        </is>
      </c>
      <c r="D4" s="42" t="inlineStr">
        <is>
          <t>Assess performance against the business target using the correct technical-capacity authority.</t>
        </is>
      </c>
      <c r="E4" s="42" t="inlineStr">
        <is>
          <t>What percentage of the September generation target was achieved, and what technical capacity context should accompany it?</t>
        </is>
      </c>
      <c r="F4" s="42" t="inlineStr">
        <is>
          <t>Must</t>
        </is>
      </c>
      <c r="G4" s="42" t="inlineStr">
        <is>
          <t>Target Attainment = Actual ÷ Target (98.61%); technical capacity uses the Operations &amp; Engineering registry (SVR-011 = 150 MW) wherever it differs from Finance.</t>
        </is>
      </c>
      <c r="H4" s="42" t="inlineStr">
        <is>
          <t>Monthly_Targets_Wide.csv for target; Plant_Register_Operations.csv for technical nameplate capacity.</t>
        </is>
      </c>
      <c r="I4" s="42" t="inlineStr">
        <is>
          <t>Validated</t>
        </is>
      </c>
    </row>
    <row r="5">
      <c r="A5" s="42" t="inlineStr">
        <is>
          <t>REQ-04</t>
        </is>
      </c>
      <c r="B5" s="42" t="inlineStr">
        <is>
          <t>Storage Operations Lead</t>
        </is>
      </c>
      <c r="C5" s="42" t="inlineStr">
        <is>
          <t>Battery Hub West is storage — do not add its 100 MW to generation capacity or treat state of charge as generation; hybrids have both components.</t>
        </is>
      </c>
      <c r="D5" s="42" t="inlineStr">
        <is>
          <t>Prevent misleading capacity totals and preserve storage business meaning.</t>
        </is>
      </c>
      <c r="E5" s="42" t="inlineStr">
        <is>
          <t>What storage power and storage energy exist, and how are they reported separately from generation capacity?</t>
        </is>
      </c>
      <c r="F5" s="42" t="inlineStr">
        <is>
          <t>Must</t>
        </is>
      </c>
      <c r="G5" s="42" t="inlineStr">
        <is>
          <t>Standalone BESS power excluded from generation capacity (2,190 MW); storage reported as 190 MW power and 760 MWh energy; hybrid generation and storage components remain distinct.</t>
        </is>
      </c>
      <c r="H5" s="42" t="inlineStr">
        <is>
          <t>Storage_Assets.csv and the Operations &amp; Engineering plant registry.</t>
        </is>
      </c>
      <c r="I5" s="42" t="inlineStr">
        <is>
          <t>Validated</t>
        </is>
      </c>
    </row>
    <row r="6">
      <c r="A6" s="42" t="inlineStr">
        <is>
          <t>REQ-05</t>
        </is>
      </c>
      <c r="B6" s="42" t="inlineStr">
        <is>
          <t>Data Governance Lead</t>
        </is>
      </c>
      <c r="C6" s="42" t="inlineStr">
        <is>
          <t>Every KPI needs owner, definition, unit, denominator and named source authority; conflicts must not be silently resolved.</t>
        </is>
      </c>
      <c r="D6" s="42" t="inlineStr">
        <is>
          <t>Approve governed analytical definitions before values are trusted or reused.</t>
        </is>
      </c>
      <c r="E6" s="42" t="inlineStr">
        <is>
          <t>Can every KPI be traced to a documented business definition, unit, denominator, owner and authoritative source?</t>
        </is>
      </c>
      <c r="F6" s="42" t="inlineStr">
        <is>
          <t>Must</t>
        </is>
      </c>
      <c r="G6" s="42" t="inlineStr">
        <is>
          <t>Metric_Cards complete for all five metrics; the SVR-011 Ops-vs-Finance conflict is explicitly resolved and documented, not silently overwritten.</t>
        </is>
      </c>
      <c r="H6" s="42" t="inlineStr">
        <is>
          <t>Metric_Cards plus the documented source-authority decision (DQ-09).</t>
        </is>
      </c>
      <c r="I6" s="42" t="inlineStr">
        <is>
          <t>Validated</t>
        </is>
      </c>
    </row>
    <row r="7">
      <c r="A7" s="42" t="inlineStr">
        <is>
          <t>REQ-06</t>
        </is>
      </c>
      <c r="B7" s="42" t="inlineStr">
        <is>
          <t>Regional Operations Manager</t>
        </is>
      </c>
      <c r="C7" s="42" t="inlineStr">
        <is>
          <t>Maintenance overlapping a poor-generation day is a clue, not proof.</t>
        </is>
      </c>
      <c r="D7" s="42" t="inlineStr">
        <is>
          <t>Investigate operating exceptions without confusing association with confirmed cause.</t>
        </is>
      </c>
      <c r="E7" s="42" t="inlineStr">
        <is>
          <t>When low generation and maintenance coincide, what additional evidence is required before a root cause is declared?</t>
        </is>
      </c>
      <c r="F7" s="42" t="inlineStr">
        <is>
          <t>Should</t>
        </is>
      </c>
      <c r="G7" s="42" t="inlineStr">
        <is>
          <t>Coincidence is labelled observation/association or hypothesis until equipment state, outage scope, weather, curtailment and timestamp evidence confirms cause.</t>
        </is>
      </c>
      <c r="H7" s="42" t="inlineStr">
        <is>
          <t>Generation, maintenance and future operational-driver evidence as appropriate.</t>
        </is>
      </c>
      <c r="I7" s="42" t="inlineStr">
        <is>
          <t>Validated</t>
        </is>
      </c>
    </row>
    <row r="8">
      <c r="A8" s="42" t="inlineStr">
        <is>
          <t>REQ-07</t>
        </is>
      </c>
      <c r="B8" s="15" t="str"/>
      <c r="C8" s="42" t="inlineStr">
        <is>
          <t>Spare row — only six stakeholder perspectives are supplied in Stakeholder_Request.md.</t>
        </is>
      </c>
      <c r="D8" s="15" t="str"/>
      <c r="E8" s="15" t="str"/>
      <c r="F8" s="15" t="str"/>
      <c r="G8" s="15" t="str"/>
      <c r="H8" s="15" t="str"/>
      <c r="I8" s="42" t="inlineStr">
        <is>
          <t>Not Started</t>
        </is>
      </c>
    </row>
    <row r="9">
      <c r="A9" s="42" t="inlineStr">
        <is>
          <t>REQ-08</t>
        </is>
      </c>
      <c r="B9" s="15" t="str"/>
      <c r="C9" s="42" t="inlineStr">
        <is>
          <t>Spare row — not used.</t>
        </is>
      </c>
      <c r="D9" s="15" t="str"/>
      <c r="E9" s="15" t="str"/>
      <c r="F9" s="15" t="str"/>
      <c r="G9" s="15" t="str"/>
      <c r="H9" s="15" t="str"/>
      <c r="I9" s="42" t="inlineStr">
        <is>
          <t>Not Started</t>
        </is>
      </c>
    </row>
  </sheetData>
  <dataValidations count="2">
    <dataValidation sqref="F2:F9" showDropDown="0" showInputMessage="0" showErrorMessage="0" allowBlank="0" type="list">
      <formula1>"Must,Should,Could,Won't"</formula1>
    </dataValidation>
    <dataValidation sqref="I2:I9" showDropDown="0" showInputMessage="0" showErrorMessage="0" allowBlank="0" type="list">
      <formula1>"Not Started,Draft,Validated"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2" customWidth="1" style="28" min="1" max="1"/>
    <col width="30" customWidth="1" style="28" min="2" max="2"/>
    <col width="28" customWidth="1" style="28" min="3" max="3"/>
    <col width="18" customWidth="1" style="28" min="4" max="4"/>
    <col width="7" customWidth="1" style="28" min="5" max="5"/>
    <col width="16" customWidth="1" style="28" min="6" max="6"/>
    <col width="16" customWidth="1" style="28" min="7" max="7"/>
    <col width="32" customWidth="1" style="28" min="8" max="8"/>
    <col width="15" customWidth="1" style="28" min="9" max="9"/>
    <col width="20" customWidth="1" style="28" min="10" max="10"/>
    <col width="30" customWidth="1" style="28" min="11" max="11"/>
  </cols>
  <sheetData>
    <row r="1">
      <c r="A1" s="21" t="inlineStr">
        <is>
          <t>MetricName</t>
        </is>
      </c>
      <c r="B1" s="21" t="inlineStr">
        <is>
          <t>BusinessQuestion</t>
        </is>
      </c>
      <c r="C1" s="21" t="inlineStr">
        <is>
          <t>Definition</t>
        </is>
      </c>
      <c r="D1" s="21" t="inlineStr">
        <is>
          <t>Inputs</t>
        </is>
      </c>
      <c r="E1" s="21" t="inlineStr">
        <is>
          <t>Unit</t>
        </is>
      </c>
      <c r="F1" s="21" t="inlineStr">
        <is>
          <t>Numerator</t>
        </is>
      </c>
      <c r="G1" s="21" t="inlineStr">
        <is>
          <t>Denominator</t>
        </is>
      </c>
      <c r="H1" s="21" t="inlineStr">
        <is>
          <t>Interpretation</t>
        </is>
      </c>
      <c r="I1" s="21" t="inlineStr">
        <is>
          <t>ExpectedExample</t>
        </is>
      </c>
      <c r="J1" s="21" t="inlineStr">
        <is>
          <t>Owner</t>
        </is>
      </c>
      <c r="K1" s="21" t="inlineStr">
        <is>
          <t>SourceAuthority</t>
        </is>
      </c>
    </row>
    <row r="2">
      <c r="A2" s="42" t="inlineStr">
        <is>
          <t>Total Actual Generation</t>
        </is>
      </c>
      <c r="B2" s="42" t="inlineStr">
        <is>
          <t>How much energy did generating assets actually produce in September 2026?</t>
        </is>
      </c>
      <c r="C2" s="42" t="inlineStr">
        <is>
          <t>Sum of validated ActualGenerationMWh at plant-day grain.</t>
        </is>
      </c>
      <c r="D2" s="42" t="inlineStr">
        <is>
          <t>ActualGenerationMWh</t>
        </is>
      </c>
      <c r="E2" s="42" t="inlineStr">
        <is>
          <t>MWh</t>
        </is>
      </c>
      <c r="F2" s="42" t="inlineStr">
        <is>
          <t>Not applicable</t>
        </is>
      </c>
      <c r="G2" s="42" t="inlineStr">
        <is>
          <t>Not applicable</t>
        </is>
      </c>
      <c r="H2" s="42" t="inlineStr">
        <is>
          <t>Realized output; additive across distinct plant-days only when no plant-day is duplicated.</t>
        </is>
      </c>
      <c r="I2" s="42" t="inlineStr">
        <is>
          <t>677,383.40 MWh</t>
        </is>
      </c>
      <c r="J2" s="42" t="inlineStr">
        <is>
          <t>Operations Analytics</t>
        </is>
      </c>
      <c r="K2" s="42" t="inlineStr">
        <is>
          <t>Validated generation telemetry / final reference generation data</t>
        </is>
      </c>
    </row>
    <row r="3">
      <c r="A3" s="42" t="inlineStr">
        <is>
          <t>Total Forecast Generation</t>
        </is>
      </c>
      <c r="B3" s="42" t="inlineStr">
        <is>
          <t>How much generation was expected for the same period?</t>
        </is>
      </c>
      <c r="C3" s="42" t="inlineStr">
        <is>
          <t>Sum of validated ForecastGenerationMWh at plant-day grain.</t>
        </is>
      </c>
      <c r="D3" s="42" t="inlineStr">
        <is>
          <t>ForecastGenerationMWh</t>
        </is>
      </c>
      <c r="E3" s="42" t="inlineStr">
        <is>
          <t>MWh</t>
        </is>
      </c>
      <c r="F3" s="42" t="inlineStr">
        <is>
          <t>Not applicable</t>
        </is>
      </c>
      <c r="G3" s="42" t="inlineStr">
        <is>
          <t>Not applicable</t>
        </is>
      </c>
      <c r="H3" s="42" t="inlineStr">
        <is>
          <t>Expected production (an expectation, not a target).</t>
        </is>
      </c>
      <c r="I3" s="42" t="inlineStr">
        <is>
          <t>676,799.28 MWh</t>
        </is>
      </c>
      <c r="J3" s="42" t="inlineStr">
        <is>
          <t>Forecasting</t>
        </is>
      </c>
      <c r="K3" s="42" t="inlineStr">
        <is>
          <t>Forecast_Daily_Raw.csv after quality validation</t>
        </is>
      </c>
    </row>
    <row r="4">
      <c r="A4" s="42" t="inlineStr">
        <is>
          <t>Generation Variance</t>
        </is>
      </c>
      <c r="B4" s="42" t="inlineStr">
        <is>
          <t>How far was actual generation above or below forecast?</t>
        </is>
      </c>
      <c r="C4" s="42" t="inlineStr">
        <is>
          <t>Actual Generation − Forecast Generation.</t>
        </is>
      </c>
      <c r="D4" s="42" t="inlineStr">
        <is>
          <t>Actual and Forecast</t>
        </is>
      </c>
      <c r="E4" s="42" t="inlineStr">
        <is>
          <t>MWh</t>
        </is>
      </c>
      <c r="F4" s="42" t="inlineStr">
        <is>
          <t>Actual − Forecast</t>
        </is>
      </c>
      <c r="G4" s="42" t="inlineStr">
        <is>
          <t>Not applicable</t>
        </is>
      </c>
      <c r="H4" s="42" t="inlineStr">
        <is>
          <t>Positive = actual exceeded forecast; negative = below forecast.</t>
        </is>
      </c>
      <c r="I4" s="42" t="inlineStr">
        <is>
          <t>+584.12 MWh</t>
        </is>
      </c>
      <c r="J4" s="42" t="inlineStr">
        <is>
          <t>Forecasting / Analytics</t>
        </is>
      </c>
      <c r="K4" s="42" t="inlineStr">
        <is>
          <t>Validated actual and forecast sources</t>
        </is>
      </c>
    </row>
    <row r="5">
      <c r="A5" s="42" t="inlineStr">
        <is>
          <t>Generation Variance Percentage</t>
        </is>
      </c>
      <c r="B5" s="42" t="inlineStr">
        <is>
          <t>How large was the forecast variance relative to expected generation?</t>
        </is>
      </c>
      <c r="C5" s="42" t="inlineStr">
        <is>
          <t>(Actual − Forecast) ÷ Forecast.</t>
        </is>
      </c>
      <c r="D5" s="42" t="inlineStr">
        <is>
          <t>Actual and Forecast</t>
        </is>
      </c>
      <c r="E5" s="42" t="inlineStr">
        <is>
          <t>%</t>
        </is>
      </c>
      <c r="F5" s="42" t="inlineStr">
        <is>
          <t>Generation Variance</t>
        </is>
      </c>
      <c r="G5" s="42" t="inlineStr">
        <is>
          <t>Forecast Generation</t>
        </is>
      </c>
      <c r="H5" s="42" t="inlineStr">
        <is>
          <t>Error measured relative to the expectation; recompute from totals — never add or average regional percentages.</t>
        </is>
      </c>
      <c r="I5" s="42" t="inlineStr">
        <is>
          <t>+0.0863%</t>
        </is>
      </c>
      <c r="J5" s="42" t="inlineStr">
        <is>
          <t>Forecasting / Analytics</t>
        </is>
      </c>
      <c r="K5" s="42" t="inlineStr">
        <is>
          <t>Validated actual and forecast sources</t>
        </is>
      </c>
    </row>
    <row r="6">
      <c r="A6" s="42" t="inlineStr">
        <is>
          <t>Target Attainment</t>
        </is>
      </c>
      <c r="B6" s="42" t="inlineStr">
        <is>
          <t>How much of the September business target was achieved?</t>
        </is>
      </c>
      <c r="C6" s="42" t="inlineStr">
        <is>
          <t>Actual Generation ÷ Target Generation.</t>
        </is>
      </c>
      <c r="D6" s="42" t="inlineStr">
        <is>
          <t>Actual and Target</t>
        </is>
      </c>
      <c r="E6" s="42" t="inlineStr">
        <is>
          <t>%</t>
        </is>
      </c>
      <c r="F6" s="42" t="inlineStr">
        <is>
          <t>Actual Generation</t>
        </is>
      </c>
      <c r="G6" s="42" t="inlineStr">
        <is>
          <t>Target Generation</t>
        </is>
      </c>
      <c r="H6" s="42" t="inlineStr">
        <is>
          <t>Performance against the objective; 100% = target met.</t>
        </is>
      </c>
      <c r="I6" s="42" t="inlineStr">
        <is>
          <t>98.61%</t>
        </is>
      </c>
      <c r="J6" s="42" t="inlineStr">
        <is>
          <t>Finance / Performance Management</t>
        </is>
      </c>
      <c r="K6" s="42" t="inlineStr">
        <is>
          <t>Validated actual generation + Monthly_Targets_Wide.csv (Sep_2026_TargetMWh)</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style="28" min="1" max="1"/>
    <col width="22" customWidth="1" style="28" min="2" max="2"/>
    <col width="20" customWidth="1" style="28" min="3" max="3"/>
    <col width="16" customWidth="1" style="28" min="4" max="4"/>
    <col width="40" customWidth="1" style="28" min="5" max="5"/>
    <col width="36" customWidth="1" style="28" min="6" max="6"/>
    <col width="9" customWidth="1" style="28" min="7" max="7"/>
    <col width="40" customWidth="1" style="28" min="8" max="8"/>
    <col width="11" customWidth="1" style="28" min="9" max="9"/>
  </cols>
  <sheetData>
    <row r="1">
      <c r="A1" s="21" t="inlineStr">
        <is>
          <t>IssueID</t>
        </is>
      </c>
      <c r="B1" s="21" t="inlineStr">
        <is>
          <t>Source</t>
        </is>
      </c>
      <c r="C1" s="21" t="inlineStr">
        <is>
          <t>Field/Record</t>
        </is>
      </c>
      <c r="D1" s="21" t="inlineStr">
        <is>
          <t>QualityDimension</t>
        </is>
      </c>
      <c r="E1" s="21" t="inlineStr">
        <is>
          <t>Evidence</t>
        </is>
      </c>
      <c r="F1" s="21" t="inlineStr">
        <is>
          <t>BusinessRisk</t>
        </is>
      </c>
      <c r="G1" s="21" t="inlineStr">
        <is>
          <t>Severity</t>
        </is>
      </c>
      <c r="H1" s="21" t="inlineStr">
        <is>
          <t>ProposedValidation</t>
        </is>
      </c>
      <c r="I1" s="21" t="inlineStr">
        <is>
          <t>Status</t>
        </is>
      </c>
    </row>
    <row r="2">
      <c r="A2" s="42" t="inlineStr">
        <is>
          <t>DQ-01</t>
        </is>
      </c>
      <c r="B2" s="42" t="inlineStr">
        <is>
          <t>Plants_Raw.csv</t>
        </is>
      </c>
      <c r="C2" s="42" t="inlineStr">
        <is>
          <t>PlantID SVR-006</t>
        </is>
      </c>
      <c r="D2" s="42" t="inlineStr">
        <is>
          <t>Uniqueness</t>
        </is>
      </c>
      <c r="E2" s="42" t="inlineStr">
        <is>
          <t>SVR-006 Prairie Wind Two appears twice (rows 7 and 14) with identical attributes.</t>
        </is>
      </c>
      <c r="F2" s="42" t="inlineStr">
        <is>
          <t>Inflates asset count to 13 and capacity by 200 MW; any plant-level sum double counts.</t>
        </is>
      </c>
      <c r="G2" s="42" t="inlineStr">
        <is>
          <t>High</t>
        </is>
      </c>
      <c r="H2" s="42" t="inlineStr">
        <is>
          <t>Count rows per PlantID; expect 1 each and 12 distinct assets. Compare with Plant_Register_Operations.csv.</t>
        </is>
      </c>
      <c r="I2" s="42" t="inlineStr">
        <is>
          <t>Validated</t>
        </is>
      </c>
    </row>
    <row r="3">
      <c r="A3" s="42" t="inlineStr">
        <is>
          <t>DQ-02</t>
        </is>
      </c>
      <c r="B3" s="42" t="inlineStr">
        <is>
          <t>Plants_Raw.csv</t>
        </is>
      </c>
      <c r="C3" s="42" t="inlineStr">
        <is>
          <t>SVR-009 RegionID</t>
        </is>
      </c>
      <c r="D3" s="42" t="inlineStr">
        <is>
          <t>Completeness</t>
        </is>
      </c>
      <c r="E3" s="42" t="inlineStr">
        <is>
          <t>SVR-009 BioCycle Plains has a blank RegionID.</t>
        </is>
      </c>
      <c r="F3" s="42" t="inlineStr">
        <is>
          <t>Asset and its generation cannot be placed in a region; regional totals would miss it.</t>
        </is>
      </c>
      <c r="G3" s="42" t="inlineStr">
        <is>
          <t>High</t>
        </is>
      </c>
      <c r="H3" s="42" t="inlineStr">
        <is>
          <t>Operations registry gives R03 Great Plains; confirm with owner and check regional totals reconcile.</t>
        </is>
      </c>
      <c r="I3" s="42" t="inlineStr">
        <is>
          <t>Validated</t>
        </is>
      </c>
    </row>
    <row r="4">
      <c r="A4" s="42" t="inlineStr">
        <is>
          <t>DQ-03</t>
        </is>
      </c>
      <c r="B4" s="42" t="inlineStr">
        <is>
          <t>Plants_Raw.csv</t>
        </is>
      </c>
      <c r="C4" s="42" t="inlineStr">
        <is>
          <t>SVR-008 TechnologyCode</t>
        </is>
      </c>
      <c r="D4" s="42" t="inlineStr">
        <is>
          <t>Consistency</t>
        </is>
      </c>
      <c r="E4" s="42" t="inlineStr">
        <is>
          <t>SVR-008 GeoSpring One uses "t06" instead of "T06".</t>
        </is>
      </c>
      <c r="F4" s="42" t="inlineStr">
        <is>
          <t>Geothermal can fragment into a separate category or fail to match Technologies.csv in case-sensitive lookups.</t>
        </is>
      </c>
      <c r="G4" s="42" t="inlineStr">
        <is>
          <t>Medium</t>
        </is>
      </c>
      <c r="H4" s="42" t="inlineStr">
        <is>
          <t>Compare all codes against the controlled vocabulary in Technologies.csv (T01–T09, upper case).</t>
        </is>
      </c>
      <c r="I4" s="42" t="inlineStr">
        <is>
          <t>Validated</t>
        </is>
      </c>
    </row>
    <row r="5">
      <c r="A5" s="42" t="inlineStr">
        <is>
          <t>DQ-04</t>
        </is>
      </c>
      <c r="B5" s="42" t="inlineStr">
        <is>
          <t>Generation_Daily_Raw.csv</t>
        </is>
      </c>
      <c r="C5" s="42" t="inlineStr">
        <is>
          <t>SVR-003 / 2026-09-12</t>
        </is>
      </c>
      <c r="D5" s="42" t="inlineStr">
        <is>
          <t>Uniqueness</t>
        </is>
      </c>
      <c r="E5" s="42" t="inlineStr">
        <is>
          <t>Plant-day appears twice (1,386.87 MWh each); file has 331 rows vs expected 330 (11 plants × 30 days).</t>
        </is>
      </c>
      <c r="F5" s="42" t="inlineStr">
        <is>
          <t>Double counts 1,386.87 MWh of generation.</t>
        </is>
      </c>
      <c r="G5" s="42" t="inlineStr">
        <is>
          <t>High</t>
        </is>
      </c>
      <c r="H5" s="42" t="inlineStr">
        <is>
          <t>Count rows per PlantID-Date; expect exactly 1. Row count must equal 330.</t>
        </is>
      </c>
      <c r="I5" s="42" t="inlineStr">
        <is>
          <t>Validated</t>
        </is>
      </c>
    </row>
    <row r="6">
      <c r="A6" s="42" t="inlineStr">
        <is>
          <t>DQ-05</t>
        </is>
      </c>
      <c r="B6" s="42" t="inlineStr">
        <is>
          <t>Generation_Daily_Raw.csv</t>
        </is>
      </c>
      <c r="C6" s="42" t="inlineStr">
        <is>
          <t>SVR-009 / 2026-09-18</t>
        </is>
      </c>
      <c r="D6" s="42" t="inlineStr">
        <is>
          <t>Completeness</t>
        </is>
      </c>
      <c r="E6" s="42" t="inlineStr">
        <is>
          <t>ActualGenerationMWh is blank.</t>
        </is>
      </c>
      <c r="F6" s="42" t="inlineStr">
        <is>
          <t>Blank is unknown, not zero; treating it as 0 understates generation (validated value is 1,625.95 MWh).</t>
        </is>
      </c>
      <c r="G6" s="42" t="inlineStr">
        <is>
          <t>High</t>
        </is>
      </c>
      <c r="H6" s="42" t="inlineStr">
        <is>
          <t>Flag missing plant-days; never impute 0 without owner rule. Compare with the final reference record.</t>
        </is>
      </c>
      <c r="I6" s="42" t="inlineStr">
        <is>
          <t>Validated</t>
        </is>
      </c>
    </row>
    <row r="7">
      <c r="A7" s="42" t="inlineStr">
        <is>
          <t>DQ-06</t>
        </is>
      </c>
      <c r="B7" s="42" t="inlineStr">
        <is>
          <t>Generation_Daily_Raw.csv</t>
        </is>
      </c>
      <c r="C7" s="42" t="inlineStr">
        <is>
          <t>SVR-005 / 2026-09-22</t>
        </is>
      </c>
      <c r="D7" s="42" t="inlineStr">
        <is>
          <t>Validity</t>
        </is>
      </c>
      <c r="E7" s="42" t="inlineStr">
        <is>
          <t>ActualGenerationMWh = −350.00 MWh.</t>
        </is>
      </c>
      <c r="F7" s="42" t="inlineStr">
        <is>
          <t>Negative generation is invalid for this fact definition; it understates totals (validated value 2,509.02 MWh).</t>
        </is>
      </c>
      <c r="G7" s="42" t="inlineStr">
        <is>
          <t>High</t>
        </is>
      </c>
      <c r="H7" s="42" t="inlineStr">
        <is>
          <t>Rule: ActualGenerationMWh ≥ 0; investigate source telemetry.</t>
        </is>
      </c>
      <c r="I7" s="42" t="inlineStr">
        <is>
          <t>Validated</t>
        </is>
      </c>
    </row>
    <row r="8">
      <c r="A8" s="42" t="inlineStr">
        <is>
          <t>DQ-07</t>
        </is>
      </c>
      <c r="B8" s="42" t="inlineStr">
        <is>
          <t>Forecast_Daily_Raw.csv</t>
        </is>
      </c>
      <c r="C8" s="42" t="inlineStr">
        <is>
          <t>SVR-008 / 2026-09-16</t>
        </is>
      </c>
      <c r="D8" s="42" t="inlineStr">
        <is>
          <t>Completeness</t>
        </is>
      </c>
      <c r="E8" s="42" t="inlineStr">
        <is>
          <t>ForecastGenerationMWh is blank.</t>
        </is>
      </c>
      <c r="F8" s="42" t="inlineStr">
        <is>
          <t>Variance and Variance % for that plant-day (and any total containing it) cannot be trusted.</t>
        </is>
      </c>
      <c r="G8" s="42" t="inlineStr">
        <is>
          <t>Medium</t>
        </is>
      </c>
      <c r="H8" s="42" t="inlineStr">
        <is>
          <t>Count non-blank forecasts per plant-day; expect 330. Validated value 2,660.49 MWh.</t>
        </is>
      </c>
      <c r="I8" s="42" t="inlineStr">
        <is>
          <t>Validated</t>
        </is>
      </c>
    </row>
    <row r="9">
      <c r="A9" s="42" t="inlineStr">
        <is>
          <t>DQ-08</t>
        </is>
      </c>
      <c r="B9" s="42" t="inlineStr">
        <is>
          <t>Source_Freshness.csv</t>
        </is>
      </c>
      <c r="C9" s="42" t="inlineStr">
        <is>
          <t>Maintenance_Events.csv</t>
        </is>
      </c>
      <c r="D9" s="42" t="inlineStr">
        <is>
          <t>Timeliness</t>
        </is>
      </c>
      <c r="E9" s="42" t="inlineStr">
        <is>
          <t>FreshnessStatus = Stale; LastUpdated 2026-09-27 23:00 vs ExpectedBy 2026-10-01 06:00 (daily cadence).</t>
        </is>
      </c>
      <c r="F9" s="42" t="inlineStr">
        <is>
          <t>Maintenance context after 27 Sep may be missing; correct logic on stale data can still support the wrong decision.</t>
        </is>
      </c>
      <c r="G9" s="42" t="inlineStr">
        <is>
          <t>Medium</t>
        </is>
      </c>
      <c r="H9" s="42" t="inlineStr">
        <is>
          <t>Compare LastUpdated with ExpectedBy for every source before publishing.</t>
        </is>
      </c>
      <c r="I9" s="42" t="inlineStr">
        <is>
          <t>Validated</t>
        </is>
      </c>
    </row>
    <row r="10">
      <c r="A10" s="42" t="inlineStr">
        <is>
          <t>DQ-09</t>
        </is>
      </c>
      <c r="B10" s="42" t="inlineStr">
        <is>
          <t>Plant registries</t>
        </is>
      </c>
      <c r="C10" s="42" t="inlineStr">
        <is>
          <t>SVR-011 GenerationCapacityMW</t>
        </is>
      </c>
      <c r="D10" s="42" t="inlineStr">
        <is>
          <t>Accuracy</t>
        </is>
      </c>
      <c r="E10" s="42" t="inlineStr">
        <is>
          <t>Operations registry = 150 MW; Finance register = 115 MW.</t>
        </is>
      </c>
      <c r="F10" s="42" t="inlineStr">
        <is>
          <t>Using the wrong register misstates technical capacity (2,190 vs 2,155 MW).</t>
        </is>
      </c>
      <c r="G10" s="42" t="inlineStr">
        <is>
          <t>High</t>
        </is>
      </c>
      <c r="H10" s="42" t="inlineStr">
        <is>
          <t>Authority decision: Operations &amp; Engineering is authoritative for technical nameplate → 150 MW. Documented in Requirements, Metric_Cards and Data_Dictionary.</t>
        </is>
      </c>
      <c r="I10" s="42" t="inlineStr">
        <is>
          <t>Validated</t>
        </is>
      </c>
    </row>
    <row r="11">
      <c r="A11" s="42" t="inlineStr">
        <is>
          <t>DQ-10</t>
        </is>
      </c>
      <c r="B11" s="42" t="inlineStr">
        <is>
          <t>Regional_Generation_Summary.csv + Generation_Daily_Raw.csv</t>
        </is>
      </c>
      <c r="C11" s="42" t="inlineStr">
        <is>
          <t>RegionalActualGenerationMWh</t>
        </is>
      </c>
      <c r="D11" s="42" t="inlineStr">
        <is>
          <t>Grain / Double counting</t>
        </is>
      </c>
      <c r="E11" s="42" t="inlineStr">
        <is>
          <t>Region-day summary totals 677,383.40 MWh — the same generation as the plant-day detail at a coarser grain.</t>
        </is>
      </c>
      <c r="F11" s="42" t="inlineStr">
        <is>
          <t>Adding summary to detail doubles the portfolio (~1.35 million MWh).</t>
        </is>
      </c>
      <c r="G11" s="42" t="inlineStr">
        <is>
          <t>High</t>
        </is>
      </c>
      <c r="H11" s="42" t="inlineStr">
        <is>
          <t>Sum plant-day actuals for any region-date and compare to the summary; they match. Never add the two.</t>
        </is>
      </c>
      <c r="I11" s="42" t="inlineStr">
        <is>
          <t>Validated</t>
        </is>
      </c>
    </row>
    <row r="12">
      <c r="A12" s="42" t="inlineStr">
        <is>
          <t>DQ-11</t>
        </is>
      </c>
      <c r="B12" s="42" t="inlineStr">
        <is>
          <t>Source_Freshness.csv</t>
        </is>
      </c>
      <c r="C12" s="42" t="inlineStr">
        <is>
          <t>Plants_Raw.csv freshness row</t>
        </is>
      </c>
      <c r="D12" s="42" t="inlineStr">
        <is>
          <t>Consistency</t>
        </is>
      </c>
      <c r="E12" s="42" t="inlineStr">
        <is>
          <t>Additional observation: LastUpdated 2026-09-30 06:05 is after ExpectedBy 06:00, yet FreshnessStatus = Fresh.</t>
        </is>
      </c>
      <c r="F12" s="42" t="inlineStr">
        <is>
          <t>The status label contradicts the documented LastUpdated-vs-ExpectedBy rule; a grace-period rule may exist but is undocumented.</t>
        </is>
      </c>
      <c r="G12" s="42" t="inlineStr">
        <is>
          <t>Low</t>
        </is>
      </c>
      <c r="H12" s="42" t="inlineStr">
        <is>
          <t>Ask the source owner for the freshness rule (grace period?) and document it.</t>
        </is>
      </c>
      <c r="I12" s="42" t="inlineStr">
        <is>
          <t>Open</t>
        </is>
      </c>
    </row>
    <row r="13">
      <c r="A13" s="42" t="inlineStr">
        <is>
          <t>DQ-12</t>
        </is>
      </c>
      <c r="B13" s="42" t="inlineStr">
        <is>
          <t>Maintenance_Events.csv</t>
        </is>
      </c>
      <c r="C13" s="42" t="inlineStr">
        <is>
          <t>M-008 (SVR-012, 2026-09-28)</t>
        </is>
      </c>
      <c r="D13" s="42" t="inlineStr">
        <is>
          <t>Validity</t>
        </is>
      </c>
      <c r="E13" s="42" t="inlineStr">
        <is>
          <t>Additional observation: a Completed event is dated 28 Sep, after the source LastUpdated of 27 Sep 23:00.</t>
        </is>
      </c>
      <c r="F13" s="42" t="inlineStr">
        <is>
          <t>Event timing or the freshness timestamp may be wrong; maintenance context should not be used for 28 Sep without confirmation.</t>
        </is>
      </c>
      <c r="G13" s="42" t="inlineStr">
        <is>
          <t>Low</t>
        </is>
      </c>
      <c r="H13" s="42" t="inlineStr">
        <is>
          <t>Confirm event timestamp and extract time with the maintenance system owner.</t>
        </is>
      </c>
      <c r="I13" s="42" t="inlineStr">
        <is>
          <t>Open</t>
        </is>
      </c>
    </row>
  </sheetData>
  <dataValidations count="3">
    <dataValidation sqref="G2:G13" showDropDown="0" showInputMessage="0" showErrorMessage="0" allowBlank="0" type="list">
      <formula1>"Low,Medium,High"</formula1>
    </dataValidation>
    <dataValidation sqref="I2:I13" showDropDown="0" showInputMessage="0" showErrorMessage="0" allowBlank="0" type="list">
      <formula1>"Open,Validated,Not an Issue"</formula1>
    </dataValidation>
    <dataValidation sqref="D2:D13" showDropDown="0" showInputMessage="0" showErrorMessage="0" allowBlank="1" type="list">
      <formula1>"Completeness,Validity,Accuracy,Consistency,Uniqueness,Timeliness,Grain / Double counting"</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2" customWidth="1" style="28" min="1" max="1"/>
    <col width="13" customWidth="1" style="28" min="2" max="2"/>
    <col width="18" customWidth="1" style="28" min="3" max="3"/>
    <col width="18" customWidth="1" style="28" min="4" max="4"/>
    <col width="15" customWidth="1" style="28" min="5" max="5"/>
    <col width="7" customWidth="1" style="28" min="6" max="6"/>
    <col width="60" customWidth="1" style="28" min="7" max="7"/>
  </cols>
  <sheetData>
    <row r="1">
      <c r="A1" s="21" t="inlineStr">
        <is>
          <t>Field</t>
        </is>
      </c>
      <c r="B1" s="21" t="inlineStr">
        <is>
          <t>ExampleValue</t>
        </is>
      </c>
      <c r="C1" s="21" t="inlineStr">
        <is>
          <t>Entity/Event</t>
        </is>
      </c>
      <c r="D1" s="21" t="inlineStr">
        <is>
          <t>LevelOfMeasurement</t>
        </is>
      </c>
      <c r="E1" s="21" t="inlineStr">
        <is>
          <t>Additivity</t>
        </is>
      </c>
      <c r="F1" s="21" t="inlineStr">
        <is>
          <t>Unit</t>
        </is>
      </c>
      <c r="G1" s="21" t="inlineStr">
        <is>
          <t>WhyItMatters</t>
        </is>
      </c>
    </row>
    <row r="2">
      <c r="A2" s="42" t="inlineStr">
        <is>
          <t>RegionID</t>
        </is>
      </c>
      <c r="B2" s="42" t="inlineStr">
        <is>
          <t>R02</t>
        </is>
      </c>
      <c r="C2" s="42" t="inlineStr">
        <is>
          <t>Region</t>
        </is>
      </c>
      <c r="D2" s="42" t="inlineStr">
        <is>
          <t>Nominal</t>
        </is>
      </c>
      <c r="E2" s="42" t="inlineStr">
        <is>
          <t>Not Applicable</t>
        </is>
      </c>
      <c r="F2" s="42" t="inlineStr">
        <is>
          <t>—</t>
        </is>
      </c>
      <c r="G2" s="42" t="inlineStr">
        <is>
          <t>No arithmetic meaning; labels a category used for grouping and filtering.</t>
        </is>
      </c>
    </row>
    <row r="3">
      <c r="A3" s="42" t="inlineStr">
        <is>
          <t>TechnologyFamily</t>
        </is>
      </c>
      <c r="B3" s="42" t="inlineStr">
        <is>
          <t>Solar</t>
        </is>
      </c>
      <c r="C3" s="42" t="inlineStr">
        <is>
          <t>Technology</t>
        </is>
      </c>
      <c r="D3" s="42" t="inlineStr">
        <is>
          <t>Nominal</t>
        </is>
      </c>
      <c r="E3" s="42" t="inlineStr">
        <is>
          <t>Not Applicable</t>
        </is>
      </c>
      <c r="F3" s="42" t="inlineStr">
        <is>
          <t>—</t>
        </is>
      </c>
      <c r="G3" s="42" t="inlineStr">
        <is>
          <t>Groups assets by category; cannot be summed or ordered.</t>
        </is>
      </c>
    </row>
    <row r="4">
      <c r="A4" s="42" t="inlineStr">
        <is>
          <t>GenerationCapacityMW</t>
        </is>
      </c>
      <c r="B4" s="42" t="inlineStr">
        <is>
          <t>220</t>
        </is>
      </c>
      <c r="C4" s="42" t="inlineStr">
        <is>
          <t>Plant</t>
        </is>
      </c>
      <c r="D4" s="42" t="inlineStr">
        <is>
          <t>Ratio</t>
        </is>
      </c>
      <c r="E4" s="42" t="inlineStr">
        <is>
          <t>Semi-additive</t>
        </is>
      </c>
      <c r="F4" s="42" t="inlineStr">
        <is>
          <t>MW</t>
        </is>
      </c>
      <c r="G4" s="42" t="inlineStr">
        <is>
          <t>Zero is meaningful; summing across distinct plants at one snapshot is valid, but repeated snapshots over time must not be summed.</t>
        </is>
      </c>
    </row>
    <row r="5">
      <c r="A5" s="42" t="inlineStr">
        <is>
          <t>ActualGenerationMWh</t>
        </is>
      </c>
      <c r="B5" s="42" t="inlineStr">
        <is>
          <t>1250.4</t>
        </is>
      </c>
      <c r="C5" s="42" t="inlineStr">
        <is>
          <t>Generation Event</t>
        </is>
      </c>
      <c r="D5" s="42" t="inlineStr">
        <is>
          <t>Ratio</t>
        </is>
      </c>
      <c r="E5" s="42" t="inlineStr">
        <is>
          <t>Additive</t>
        </is>
      </c>
      <c r="F5" s="42" t="inlineStr">
        <is>
          <t>MWh</t>
        </is>
      </c>
      <c r="G5" s="42" t="inlineStr">
        <is>
          <t>Energy can be summed across compatible plants and dates when the same plant-day is not duplicated.</t>
        </is>
      </c>
    </row>
    <row r="6">
      <c r="A6" s="42" t="inlineStr">
        <is>
          <t>Status</t>
        </is>
      </c>
      <c r="B6" s="42" t="inlineStr">
        <is>
          <t>Active</t>
        </is>
      </c>
      <c r="C6" s="42" t="inlineStr">
        <is>
          <t>Plant</t>
        </is>
      </c>
      <c r="D6" s="42" t="inlineStr">
        <is>
          <t>Nominal</t>
        </is>
      </c>
      <c r="E6" s="42" t="inlineStr">
        <is>
          <t>Not Applicable</t>
        </is>
      </c>
      <c r="F6" s="42" t="inlineStr">
        <is>
          <t>—</t>
        </is>
      </c>
      <c r="G6" s="42" t="inlineStr">
        <is>
          <t>A label, not a quantity.</t>
        </is>
      </c>
    </row>
    <row r="7">
      <c r="A7" s="42" t="inlineStr">
        <is>
          <t>Date</t>
        </is>
      </c>
      <c r="B7" s="42" t="inlineStr">
        <is>
          <t>2026-09-18</t>
        </is>
      </c>
      <c r="C7" s="42" t="inlineStr">
        <is>
          <t>Generation Event</t>
        </is>
      </c>
      <c r="D7" s="42" t="inlineStr">
        <is>
          <t>Interval</t>
        </is>
      </c>
      <c r="E7" s="42" t="inlineStr">
        <is>
          <t>Not Applicable</t>
        </is>
      </c>
      <c r="F7" s="42" t="inlineStr">
        <is>
          <t>day</t>
        </is>
      </c>
      <c r="G7" s="42" t="inlineStr">
        <is>
          <t>Differences between dates are meaningful; the calendar origin is arbitrary. Time zone and interval convention must be documented.</t>
        </is>
      </c>
    </row>
    <row r="8">
      <c r="A8" s="42" t="inlineStr">
        <is>
          <t>StorageEnergyMWh</t>
        </is>
      </c>
      <c r="B8" s="42" t="inlineStr">
        <is>
          <t>400</t>
        </is>
      </c>
      <c r="C8" s="42" t="inlineStr">
        <is>
          <t>Storage Asset</t>
        </is>
      </c>
      <c r="D8" s="42" t="inlineStr">
        <is>
          <t>Ratio</t>
        </is>
      </c>
      <c r="E8" s="42" t="inlineStr">
        <is>
          <t>Semi-additive</t>
        </is>
      </c>
      <c r="F8" s="42" t="inlineStr">
        <is>
          <t>MWh</t>
        </is>
      </c>
      <c r="G8" s="42" t="inlineStr">
        <is>
          <t>Sum across distinct storage assets at one point-in-time inventory; repeated snapshots over time must not be added.</t>
        </is>
      </c>
    </row>
  </sheetData>
  <dataValidations count="2">
    <dataValidation sqref="D2:D8" showDropDown="0" showInputMessage="0" showErrorMessage="0" allowBlank="0" type="list">
      <formula1>"Nominal,Ordinal,Interval,Ratio"</formula1>
    </dataValidation>
    <dataValidation sqref="E2:E8" showDropDown="0" showInputMessage="0" showErrorMessage="0" allowBlank="0" type="list">
      <formula1>"Additive,Semi-additive,Non-additive,Not 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0" customWidth="1" style="28" min="1" max="1"/>
    <col width="34" customWidth="1" style="28" min="2" max="2"/>
    <col width="42" customWidth="1" style="28" min="3" max="3"/>
    <col width="34" customWidth="1" style="28" min="4" max="4"/>
    <col width="38" customWidth="1" style="28" min="5" max="5"/>
  </cols>
  <sheetData>
    <row r="1">
      <c r="A1" s="21" t="inlineStr">
        <is>
          <t>PageArea</t>
        </is>
      </c>
      <c r="B1" s="21" t="inlineStr">
        <is>
          <t>BusinessQuestion</t>
        </is>
      </c>
      <c r="C1" s="21" t="inlineStr">
        <is>
          <t>SuggestedEvidence</t>
        </is>
      </c>
      <c r="D1" s="21" t="inlineStr">
        <is>
          <t>WhyThisEvidence</t>
        </is>
      </c>
      <c r="E1" s="21" t="inlineStr">
        <is>
          <t>ValidationRule</t>
        </is>
      </c>
    </row>
    <row r="2">
      <c r="A2" s="42" t="inlineStr">
        <is>
          <t>Top KPIs</t>
        </is>
      </c>
      <c r="B2" s="42" t="inlineStr">
        <is>
          <t>Is the portfolio performing against expectation and target?</t>
        </is>
      </c>
      <c r="C2" s="42" t="inlineStr">
        <is>
          <t>Actual Generation; Forecast; Variance MWh; Variance %; Target Attainment (storage capacity kept separate).</t>
        </is>
      </c>
      <c r="D2" s="42" t="inlineStr">
        <is>
          <t>Directly answers the executive performance question.</t>
        </is>
      </c>
      <c r="E2" s="42" t="inlineStr">
        <is>
          <t>Reconcile every KPI to the final validation baseline (Portfolio_Expected).</t>
        </is>
      </c>
    </row>
    <row r="3">
      <c r="A3" s="42" t="inlineStr">
        <is>
          <t>Region comparison</t>
        </is>
      </c>
      <c r="B3" s="42" t="inlineStr">
        <is>
          <t>Which regions are above/below forecast and target?</t>
        </is>
      </c>
      <c r="C3" s="42" t="inlineStr">
        <is>
          <t>Actual vs Forecast by region plus Variance, Variance % and Target Attainment.</t>
        </is>
      </c>
      <c r="D3" s="42" t="inlineStr">
        <is>
          <t>Directs investigation without claiming cause.</t>
        </is>
      </c>
      <c r="E3" s="42" t="inlineStr">
        <is>
          <t>Regional values reconcile to Expected_Region_Values.csv.</t>
        </is>
      </c>
    </row>
    <row r="4">
      <c r="A4" s="42" t="inlineStr">
        <is>
          <t>Technology context</t>
        </is>
      </c>
      <c r="B4" s="42" t="inlineStr">
        <is>
          <t>What generation and storage capability exists by technology?</t>
        </is>
      </c>
      <c r="C4" s="42" t="inlineStr">
        <is>
          <t>Generation capacity by technology family; separate Storage Power (MW) and Storage Energy (MWh) cards.</t>
        </is>
      </c>
      <c r="D4" s="42" t="inlineStr">
        <is>
          <t>Prevents a semantically invalid combined capacity total.</t>
        </is>
      </c>
      <c r="E4" s="42" t="inlineStr">
        <is>
          <t>Generation capacity = 2,190 MW; storage = 190 MW / 760 MWh.</t>
        </is>
      </c>
    </row>
    <row r="5">
      <c r="A5" s="42" t="inlineStr">
        <is>
          <t>Exception/quality note</t>
        </is>
      </c>
      <c r="B5" s="42" t="inlineStr">
        <is>
          <t>Can the evidence be trusted right now?</t>
        </is>
      </c>
      <c r="C5" s="42" t="inlineStr">
        <is>
          <t>Open quality issues and source-freshness status.</t>
        </is>
      </c>
      <c r="D5" s="42" t="inlineStr">
        <is>
          <t>Trust is part of the product, not an afterthought.</t>
        </is>
      </c>
      <c r="E5" s="42" t="inlineStr">
        <is>
          <t>Maintenance source shown as Stale in the planted scenario.</t>
        </is>
      </c>
    </row>
    <row r="6">
      <c r="A6" s="42" t="inlineStr">
        <is>
          <t>Decision note</t>
        </is>
      </c>
      <c r="B6" s="42" t="inlineStr">
        <is>
          <t>What should happen next?</t>
        </is>
      </c>
      <c r="C6" s="42" t="inlineStr">
        <is>
          <t>Short narrative: where to investigate and what evidence is still missing.</t>
        </is>
      </c>
      <c r="D6" s="42" t="inlineStr">
        <is>
          <t>A report should support a decision or investigation, not just display numbers.</t>
        </is>
      </c>
      <c r="E6" s="42" t="inlineStr">
        <is>
          <t>No association is presented as confirmed cause.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0" customWidth="1" style="28" min="1" max="1"/>
    <col width="30" customWidth="1" style="28" min="2" max="2"/>
    <col width="24" customWidth="1" style="28" min="3" max="3"/>
    <col width="60" customWidth="1" style="28" min="4" max="4"/>
  </cols>
  <sheetData>
    <row r="1">
      <c r="A1" s="21" t="inlineStr">
        <is>
          <t>Outcome KPI</t>
        </is>
      </c>
      <c r="B1" s="21" t="inlineStr">
        <is>
          <t>Contributing Metric</t>
        </is>
      </c>
      <c r="C1" s="21" t="inlineStr">
        <is>
          <t>Driver/Diagnostic</t>
        </is>
      </c>
      <c r="D1" s="21" t="inlineStr">
        <is>
          <t>Business Meaning</t>
        </is>
      </c>
    </row>
    <row r="2">
      <c r="A2" s="42" t="inlineStr">
        <is>
          <t>Portfolio Generation Performance</t>
        </is>
      </c>
      <c r="B2" s="42" t="inlineStr">
        <is>
          <t>Total Actual Generation</t>
        </is>
      </c>
      <c r="C2" s="42" t="inlineStr">
        <is>
          <t>Output</t>
        </is>
      </c>
      <c r="D2" s="42" t="inlineStr">
        <is>
          <t>Describes realized output (MWh).</t>
        </is>
      </c>
    </row>
    <row r="3">
      <c r="A3" s="42" t="inlineStr">
        <is>
          <t>Portfolio Generation Performance</t>
        </is>
      </c>
      <c r="B3" s="42" t="inlineStr">
        <is>
          <t>Generation Variance / Variance %</t>
        </is>
      </c>
      <c r="C3" s="42" t="inlineStr">
        <is>
          <t>Forecast comparison</t>
        </is>
      </c>
      <c r="D3" s="42" t="inlineStr">
        <is>
          <t>Compares output with expectation; denominator = Forecast.</t>
        </is>
      </c>
    </row>
    <row r="4">
      <c r="A4" s="42" t="inlineStr">
        <is>
          <t>Portfolio Generation Performance</t>
        </is>
      </c>
      <c r="B4" s="42" t="inlineStr">
        <is>
          <t>Target Attainment</t>
        </is>
      </c>
      <c r="C4" s="42" t="inlineStr">
        <is>
          <t>Target comparison</t>
        </is>
      </c>
      <c r="D4" s="42" t="inlineStr">
        <is>
          <t>Compares output with the business objective; denominator = Target; 100% = met.</t>
        </is>
      </c>
    </row>
    <row r="5">
      <c r="A5" s="42" t="inlineStr">
        <is>
          <t>Portfolio Generation Performance</t>
        </is>
      </c>
      <c r="B5" s="42" t="inlineStr">
        <is>
          <t>Source Freshness &amp; Data Quality</t>
        </is>
      </c>
      <c r="C5" s="42" t="inlineStr">
        <is>
          <t>Trust dependency</t>
        </is>
      </c>
      <c r="D5" s="42" t="inlineStr">
        <is>
          <t>Determines whether any of the above results should be trusted or acted 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6" customWidth="1" style="28" min="1" max="1"/>
    <col width="26" customWidth="1" style="28" min="2" max="2"/>
    <col width="26" customWidth="1" style="28" min="3" max="3"/>
    <col width="26" customWidth="1" style="28" min="4" max="4"/>
  </cols>
  <sheetData>
    <row r="1">
      <c r="A1" s="21" t="inlineStr">
        <is>
          <t>Plant</t>
        </is>
      </c>
      <c r="B1" s="21" t="inlineStr">
        <is>
          <t>CapacityMW</t>
        </is>
      </c>
      <c r="C1" s="21" t="inlineStr">
        <is>
          <t>PerformancePct</t>
        </is>
      </c>
      <c r="D1" s="21" t="inlineStr">
        <is>
          <t>Capacity x Performance</t>
        </is>
      </c>
    </row>
    <row r="2">
      <c r="A2" t="inlineStr">
        <is>
          <t>Large Plant</t>
        </is>
      </c>
      <c r="B2" t="n">
        <v>500</v>
      </c>
      <c r="C2" s="43" t="n">
        <v>0.8</v>
      </c>
      <c r="D2">
        <f>B2*C2</f>
        <v/>
      </c>
    </row>
    <row r="3">
      <c r="A3" t="inlineStr">
        <is>
          <t>Small Plant</t>
        </is>
      </c>
      <c r="B3" t="n">
        <v>50</v>
      </c>
      <c r="C3" s="43" t="n">
        <v>0.99</v>
      </c>
      <c r="D3">
        <f>B3*C3</f>
        <v/>
      </c>
    </row>
    <row r="6">
      <c r="A6" s="21" t="inlineStr">
        <is>
          <t>Metric</t>
        </is>
      </c>
      <c r="B6" s="21" t="inlineStr">
        <is>
          <t>Result</t>
        </is>
      </c>
    </row>
    <row r="7">
      <c r="A7" t="inlineStr">
        <is>
          <t>Simple Average</t>
        </is>
      </c>
      <c r="B7" s="43">
        <f>AVERAGE(C2:C3)</f>
        <v/>
      </c>
    </row>
    <row r="8">
      <c r="A8" t="inlineStr">
        <is>
          <t>Capacity-Weighted Average</t>
        </is>
      </c>
      <c r="B8" s="43">
        <f>SUM(D2:D3)/SUM(B2:B3)</f>
        <v/>
      </c>
    </row>
    <row r="10" ht="75" customHeight="1" s="28">
      <c r="A10" s="42" t="inlineStr">
        <is>
          <t>Interpretation</t>
        </is>
      </c>
      <c r="B10" s="42" t="inlineStr">
        <is>
          <t>Simple average 89.50% gives the 500 MW and 50 MW plants equal influence. Capacity-weighted 81.73% (≈81.7273%) gives the larger plant proportional influence. Use weighting only when the business definition intends capacity as the weight.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2" customWidth="1" style="28" min="1" max="1"/>
    <col width="22" customWidth="1" style="28" min="2" max="2"/>
    <col width="22" customWidth="1" style="28" min="3" max="3"/>
    <col width="22" customWidth="1" style="28" min="4" max="4"/>
    <col width="22" customWidth="1" style="28" min="5" max="5"/>
    <col width="22" customWidth="1" style="28" min="6" max="6"/>
    <col width="22" customWidth="1" style="28" min="7" max="7"/>
    <col width="22" customWidth="1" style="28" min="8" max="8"/>
    <col width="22" customWidth="1" style="28" min="9" max="9"/>
    <col width="22" customWidth="1" style="28" min="10" max="10"/>
  </cols>
  <sheetData>
    <row r="1">
      <c r="A1" s="21" t="inlineStr">
        <is>
          <t>Region</t>
        </is>
      </c>
      <c r="B1" s="21" t="inlineStr">
        <is>
          <t>WeatherCondition</t>
        </is>
      </c>
      <c r="C1" s="21" t="inlineStr">
        <is>
          <t>WithinToleranceDays</t>
        </is>
      </c>
      <c r="D1" s="21" t="inlineStr">
        <is>
          <t>TotalDays</t>
        </is>
      </c>
      <c r="E1" s="21" t="inlineStr">
        <is>
          <t>Rate</t>
        </is>
      </c>
      <c r="G1" s="21" t="inlineStr">
        <is>
          <t>Region</t>
        </is>
      </c>
      <c r="H1" s="21" t="inlineStr">
        <is>
          <t>WithinToleranceTotal</t>
        </is>
      </c>
      <c r="I1" s="21" t="inlineStr">
        <is>
          <t>TotalDays</t>
        </is>
      </c>
      <c r="J1" s="21" t="inlineStr">
        <is>
          <t>OverallRate</t>
        </is>
      </c>
    </row>
    <row r="2">
      <c r="A2" t="inlineStr">
        <is>
          <t>Region A</t>
        </is>
      </c>
      <c r="B2" t="inlineStr">
        <is>
          <t>Normal Weather</t>
        </is>
      </c>
      <c r="C2" t="n">
        <v>9</v>
      </c>
      <c r="D2" t="n">
        <v>10</v>
      </c>
      <c r="E2" s="43">
        <f>C2/D2</f>
        <v/>
      </c>
      <c r="G2" t="inlineStr">
        <is>
          <t>Region A</t>
        </is>
      </c>
      <c r="H2">
        <f>SUMIF($A$2:$A$5,G2,$C$2:$C$5)</f>
        <v/>
      </c>
      <c r="I2">
        <f>SUMIF($A$2:$A$5,G2,$D$2:$D$5)</f>
        <v/>
      </c>
      <c r="J2" s="43">
        <f>H2/I2</f>
        <v/>
      </c>
    </row>
    <row r="3">
      <c r="A3" t="inlineStr">
        <is>
          <t>Region B</t>
        </is>
      </c>
      <c r="B3" t="inlineStr">
        <is>
          <t>Normal Weather</t>
        </is>
      </c>
      <c r="C3" t="n">
        <v>720</v>
      </c>
      <c r="D3" t="n">
        <v>900</v>
      </c>
      <c r="E3" s="43">
        <f>C3/D3</f>
        <v/>
      </c>
      <c r="G3" t="inlineStr">
        <is>
          <t>Region B</t>
        </is>
      </c>
      <c r="H3">
        <f>SUMIF($A$2:$A$5,G3,$C$2:$C$5)</f>
        <v/>
      </c>
      <c r="I3">
        <f>SUMIF($A$2:$A$5,G3,$D$2:$D$5)</f>
        <v/>
      </c>
      <c r="J3" s="43">
        <f>H3/I3</f>
        <v/>
      </c>
    </row>
    <row r="4">
      <c r="A4" t="inlineStr">
        <is>
          <t>Region A</t>
        </is>
      </c>
      <c r="B4" t="inlineStr">
        <is>
          <t>Severe Weather</t>
        </is>
      </c>
      <c r="C4" t="n">
        <v>270</v>
      </c>
      <c r="D4" t="n">
        <v>900</v>
      </c>
      <c r="E4" s="43">
        <f>C4/D4</f>
        <v/>
      </c>
      <c r="G4" t="inlineStr">
        <is>
          <t>Question</t>
        </is>
      </c>
      <c r="H4" t="inlineStr">
        <is>
          <t>Which region is higher within each weather condition, and which is higher overall?</t>
        </is>
      </c>
    </row>
    <row r="5">
      <c r="A5" t="inlineStr">
        <is>
          <t>Region B</t>
        </is>
      </c>
      <c r="B5" t="inlineStr">
        <is>
          <t>Severe Weather</t>
        </is>
      </c>
      <c r="C5" t="n">
        <v>2</v>
      </c>
      <c r="D5" t="n">
        <v>10</v>
      </c>
      <c r="E5" s="43">
        <f>C5/D5</f>
        <v/>
      </c>
    </row>
    <row r="6" ht="110" customHeight="1" s="28">
      <c r="G6" s="42" t="inlineStr">
        <is>
          <t>Answer</t>
        </is>
      </c>
      <c r="H6" s="42" t="inlineStr">
        <is>
          <t>Region A is higher within BOTH weather conditions (90% vs 80% Normal; 30% vs 20% Severe), yet lower overall: A = 279/910 = 30.66%, B = 722/910 = 79.34%. Region A has 900 of 910 observations in Severe Weather, Region B 900 of 910 in Normal Weather, so the aggregate reflects mix, not performance. Inspect subgroup composition before concluding.</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style="28" min="1" max="1"/>
    <col width="28" customWidth="1" style="28" min="2" max="2"/>
    <col width="28" customWidth="1" style="28" min="3" max="3"/>
    <col width="28" customWidth="1" style="28" min="4" max="4"/>
    <col width="28" customWidth="1" style="28" min="5" max="5"/>
  </cols>
  <sheetData>
    <row r="1">
      <c r="A1" s="21" t="inlineStr">
        <is>
          <t>Metric</t>
        </is>
      </c>
      <c r="B1" s="21" t="inlineStr">
        <is>
          <t>YourResult</t>
        </is>
      </c>
      <c r="C1" s="21" t="inlineStr">
        <is>
          <t>ExpectedResult</t>
        </is>
      </c>
      <c r="D1" s="21" t="inlineStr">
        <is>
          <t>Difference</t>
        </is>
      </c>
      <c r="E1" s="21" t="inlineStr">
        <is>
          <t>Validated?</t>
        </is>
      </c>
    </row>
    <row r="2">
      <c r="A2" t="inlineStr">
        <is>
          <t>Region Count</t>
        </is>
      </c>
      <c r="B2" s="44" t="n">
        <v>4</v>
      </c>
      <c r="C2" s="44" t="n">
        <v>4</v>
      </c>
      <c r="D2" s="44">
        <f>ROUND(B2-C2,6)</f>
        <v/>
      </c>
      <c r="E2" t="inlineStr">
        <is>
          <t>Yes</t>
        </is>
      </c>
    </row>
    <row r="3">
      <c r="A3" t="inlineStr">
        <is>
          <t>Plant/Asset Count</t>
        </is>
      </c>
      <c r="B3" s="44" t="n">
        <v>12</v>
      </c>
      <c r="C3" s="44" t="n">
        <v>12</v>
      </c>
      <c r="D3" s="44">
        <f>ROUND(B3-C3,6)</f>
        <v/>
      </c>
      <c r="E3" t="inlineStr">
        <is>
          <t>Yes</t>
        </is>
      </c>
    </row>
    <row r="4">
      <c r="A4" t="inlineStr">
        <is>
          <t>Generating Asset Count</t>
        </is>
      </c>
      <c r="B4" s="44" t="n">
        <v>11</v>
      </c>
      <c r="C4" s="44" t="n">
        <v>11</v>
      </c>
      <c r="D4" s="44">
        <f>ROUND(B4-C4,6)</f>
        <v/>
      </c>
      <c r="E4" t="inlineStr">
        <is>
          <t>Yes</t>
        </is>
      </c>
    </row>
    <row r="5">
      <c r="A5" t="inlineStr">
        <is>
          <t>Technology Family Count</t>
        </is>
      </c>
      <c r="B5" s="44" t="n">
        <v>7</v>
      </c>
      <c r="C5" s="44" t="n">
        <v>7</v>
      </c>
      <c r="D5" s="44">
        <f>ROUND(B5-C5,6)</f>
        <v/>
      </c>
      <c r="E5" t="inlineStr">
        <is>
          <t>Yes</t>
        </is>
      </c>
    </row>
    <row r="6">
      <c r="A6" t="inlineStr">
        <is>
          <t>Generation Capacity</t>
        </is>
      </c>
      <c r="B6" s="45" t="n">
        <v>2190</v>
      </c>
      <c r="C6" s="45" t="n">
        <v>2190</v>
      </c>
      <c r="D6" s="45">
        <f>ROUND(B6-C6,6)</f>
        <v/>
      </c>
      <c r="E6" t="inlineStr">
        <is>
          <t>Yes</t>
        </is>
      </c>
    </row>
    <row r="7">
      <c r="A7" t="inlineStr">
        <is>
          <t>Storage Power</t>
        </is>
      </c>
      <c r="B7" s="45" t="n">
        <v>190</v>
      </c>
      <c r="C7" s="45" t="n">
        <v>190</v>
      </c>
      <c r="D7" s="45">
        <f>ROUND(B7-C7,6)</f>
        <v/>
      </c>
      <c r="E7" t="inlineStr">
        <is>
          <t>Yes</t>
        </is>
      </c>
    </row>
    <row r="8">
      <c r="A8" t="inlineStr">
        <is>
          <t>Storage Energy</t>
        </is>
      </c>
      <c r="B8" s="46" t="n">
        <v>760</v>
      </c>
      <c r="C8" s="46" t="n">
        <v>760</v>
      </c>
      <c r="D8" s="46">
        <f>ROUND(B8-C8,6)</f>
        <v/>
      </c>
      <c r="E8" t="inlineStr">
        <is>
          <t>Yes</t>
        </is>
      </c>
    </row>
    <row r="9">
      <c r="A9" t="inlineStr">
        <is>
          <t>Total Actual Generation</t>
        </is>
      </c>
      <c r="B9" s="47" t="n">
        <v>677383.4</v>
      </c>
      <c r="C9" s="47" t="n">
        <v>677383.4</v>
      </c>
      <c r="D9" s="47">
        <f>ROUND(B9-C9,6)</f>
        <v/>
      </c>
      <c r="E9" t="inlineStr">
        <is>
          <t>Yes</t>
        </is>
      </c>
    </row>
    <row r="10">
      <c r="A10" t="inlineStr">
        <is>
          <t>Total Forecast Generation</t>
        </is>
      </c>
      <c r="B10" s="47" t="n">
        <v>676799.28</v>
      </c>
      <c r="C10" s="47" t="n">
        <v>676799.28</v>
      </c>
      <c r="D10" s="47">
        <f>ROUND(B10-C10,6)</f>
        <v/>
      </c>
      <c r="E10" t="inlineStr">
        <is>
          <t>Yes</t>
        </is>
      </c>
    </row>
    <row r="11">
      <c r="A11" t="inlineStr">
        <is>
          <t>Generation Variance</t>
        </is>
      </c>
      <c r="B11" s="47">
        <f>B9-B10</f>
        <v/>
      </c>
      <c r="C11" s="47" t="n">
        <v>584.12</v>
      </c>
      <c r="D11" s="47">
        <f>ROUND(B11-C11,6)</f>
        <v/>
      </c>
      <c r="E11" t="inlineStr">
        <is>
          <t>Yes</t>
        </is>
      </c>
    </row>
    <row r="12">
      <c r="A12" t="inlineStr">
        <is>
          <t>Generation Variance Percentage</t>
        </is>
      </c>
      <c r="B12" s="48">
        <f>B11/B10</f>
        <v/>
      </c>
      <c r="C12" s="48" t="n">
        <v>0.0008630623838725124</v>
      </c>
      <c r="D12" s="48">
        <f>ROUND(B12-C12,6)</f>
        <v/>
      </c>
      <c r="E12" t="inlineStr">
        <is>
          <t>Yes</t>
        </is>
      </c>
    </row>
    <row r="13">
      <c r="A13" t="inlineStr">
        <is>
          <t>September Target</t>
        </is>
      </c>
      <c r="B13" s="47" t="n">
        <v>686951.28</v>
      </c>
      <c r="C13" s="47" t="n">
        <v>686951.28</v>
      </c>
      <c r="D13" s="47">
        <f>ROUND(B13-C13,6)</f>
        <v/>
      </c>
      <c r="E13" t="inlineStr">
        <is>
          <t>Yes</t>
        </is>
      </c>
    </row>
    <row r="14">
      <c r="A14" t="inlineStr">
        <is>
          <t>Target Attainment</t>
        </is>
      </c>
      <c r="B14" s="43">
        <f>B9/B13</f>
        <v/>
      </c>
      <c r="C14" s="43" t="n">
        <v>0.9860719671415417</v>
      </c>
      <c r="D14" s="43">
        <f>ROUND(B14-C14,6)</f>
        <v/>
      </c>
      <c r="E14" t="inlineStr">
        <is>
          <t>Yes</t>
        </is>
      </c>
    </row>
    <row r="16" ht="60" customHeight="1" s="28">
      <c r="A16" s="49" t="inlineStr">
        <is>
          <t>Method</t>
        </is>
      </c>
      <c r="B16" s="50" t="inlineStr">
        <is>
          <t>YourResult values recomputed independently from the clean records (11 plants × 30 days = 330 plant-days each for actual and forecast; Sep targets for R01–R04; Operations registry capacity; Storage_Assets). Raw Source_Files totals (674,285.30 / 674,138.79 MWh) are NOT authoritative because they contain the planted defects.</t>
        </is>
      </c>
      <c r="C16" s="1" t="n"/>
      <c r="D16" s="1" t="n"/>
      <c r="E16" s="1" t="n"/>
    </row>
  </sheetData>
  <mergeCells count="1">
    <mergeCell ref="B16:E16"/>
  </mergeCells>
  <dataValidations count="1">
    <dataValidation sqref="E2:E14" showDropDown="0" showInputMessage="0" showErrorMessage="0" allowBlank="0" type="list">
      <formula1>"Yes,No,Not Checked"</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0" customWidth="1" style="28" min="1" max="1"/>
    <col width="44" customWidth="1" style="28" min="2" max="2"/>
    <col width="8" customWidth="1" style="28" min="3" max="3"/>
    <col width="48" customWidth="1" style="28" min="4" max="4"/>
    <col width="22" customWidth="1" style="28" min="5" max="5"/>
  </cols>
  <sheetData>
    <row r="1">
      <c r="A1" s="33" t="inlineStr">
        <is>
          <t>Term</t>
        </is>
      </c>
      <c r="B1" s="33" t="inlineStr">
        <is>
          <t>YourDefinition</t>
        </is>
      </c>
      <c r="C1" s="33" t="inlineStr">
        <is>
          <t>Unit</t>
        </is>
      </c>
      <c r="D1" s="33" t="inlineStr">
        <is>
          <t>BusinessMeaning</t>
        </is>
      </c>
      <c r="E1" s="33" t="inlineStr">
        <is>
          <t>RelatedTermToDistinguish</t>
        </is>
      </c>
    </row>
    <row r="2">
      <c r="A2" s="42" t="inlineStr">
        <is>
          <t>Plant</t>
        </is>
      </c>
      <c r="B2" s="42" t="inlineStr">
        <is>
          <t>An enterprise asset (site) that generates and/or stores electricity, identified by PlantID.</t>
        </is>
      </c>
      <c r="C2" s="15" t="str"/>
      <c r="D2" s="42" t="inlineStr">
        <is>
          <t>Unit of analysis for capacity, generation and maintenance; equipment are components within a plant.</t>
        </is>
      </c>
      <c r="E2" s="42" t="inlineStr">
        <is>
          <t>Equipment</t>
        </is>
      </c>
    </row>
    <row r="3">
      <c r="A3" s="42" t="inlineStr">
        <is>
          <t>Region</t>
        </is>
      </c>
      <c r="B3" s="42" t="inlineStr">
        <is>
          <t>A geographic operating area (R01–R04) grouping plants, each with its own time zone.</t>
        </is>
      </c>
      <c r="C3" s="15" t="str"/>
      <c r="D3" s="42" t="inlineStr">
        <is>
          <t>Used for regional comparison and region-month targets; a site is a single location within a region.</t>
        </is>
      </c>
      <c r="E3" s="42" t="inlineStr">
        <is>
          <t>Site</t>
        </is>
      </c>
    </row>
    <row r="4">
      <c r="A4" s="42" t="inlineStr">
        <is>
          <t>Generation</t>
        </is>
      </c>
      <c r="B4" s="42" t="inlineStr">
        <is>
          <t>Electrical energy actually produced over a period.</t>
        </is>
      </c>
      <c r="C4" s="42" t="inlineStr">
        <is>
          <t>MWh</t>
        </is>
      </c>
      <c r="D4" s="42" t="inlineStr">
        <is>
          <t>Realized output; distinct from capacity (the rated ability to produce).</t>
        </is>
      </c>
      <c r="E4" s="42" t="inlineStr">
        <is>
          <t>Capacity</t>
        </is>
      </c>
    </row>
    <row r="5">
      <c r="A5" s="42" t="inlineStr">
        <is>
          <t>Generation Capacity</t>
        </is>
      </c>
      <c r="B5" s="42" t="inlineStr">
        <is>
          <t>Rated maximum power output of the generating equipment (nameplate).</t>
        </is>
      </c>
      <c r="C5" s="42" t="inlineStr">
        <is>
          <t>MW</t>
        </is>
      </c>
      <c r="D5" s="42" t="inlineStr">
        <is>
          <t>A capability, not production; standalone BESS power is excluded. Authority: Operations &amp; Engineering.</t>
        </is>
      </c>
      <c r="E5" s="42" t="inlineStr">
        <is>
          <t>Generation</t>
        </is>
      </c>
    </row>
    <row r="6">
      <c r="A6" s="42" t="inlineStr">
        <is>
          <t>Forecast Generation</t>
        </is>
      </c>
      <c r="B6" s="42" t="inlineStr">
        <is>
          <t>Expected production for a period based on available information.</t>
        </is>
      </c>
      <c r="C6" s="42" t="inlineStr">
        <is>
          <t>MWh</t>
        </is>
      </c>
      <c r="D6" s="42" t="inlineStr">
        <is>
          <t>An expectation used for Variance; never a business objective.</t>
        </is>
      </c>
      <c r="E6" s="42" t="inlineStr">
        <is>
          <t>Target</t>
        </is>
      </c>
    </row>
    <row r="7">
      <c r="A7" s="42" t="inlineStr">
        <is>
          <t>Target</t>
        </is>
      </c>
      <c r="B7" s="42" t="inlineStr">
        <is>
          <t>A business objective for generation in a period (region-month).</t>
        </is>
      </c>
      <c r="C7" s="42" t="inlineStr">
        <is>
          <t>MWh</t>
        </is>
      </c>
      <c r="D7" s="42" t="inlineStr">
        <is>
          <t>Used for Target Attainment; distinct from forecast.</t>
        </is>
      </c>
      <c r="E7" s="42" t="inlineStr">
        <is>
          <t>Forecast</t>
        </is>
      </c>
    </row>
    <row r="8">
      <c r="A8" s="42" t="inlineStr">
        <is>
          <t>Storage Power</t>
        </is>
      </c>
      <c r="B8" s="42" t="inlineStr">
        <is>
          <t>Maximum rate at which a storage asset can charge/discharge.</t>
        </is>
      </c>
      <c r="C8" s="42" t="inlineStr">
        <is>
          <t>MW</t>
        </is>
      </c>
      <c r="D8" s="42" t="inlineStr">
        <is>
          <t>Storage capability in MW; not generation capacity and not energy.</t>
        </is>
      </c>
      <c r="E8" s="42" t="inlineStr">
        <is>
          <t>Storage Energy</t>
        </is>
      </c>
    </row>
    <row r="9">
      <c r="A9" s="42" t="inlineStr">
        <is>
          <t>Storage Energy</t>
        </is>
      </c>
      <c r="B9" s="42" t="inlineStr">
        <is>
          <t>Amount of energy a storage asset can hold.</t>
        </is>
      </c>
      <c r="C9" s="42" t="inlineStr">
        <is>
          <t>MWh</t>
        </is>
      </c>
      <c r="D9" s="42" t="inlineStr">
        <is>
          <t>Storage inventory in MWh; not generated MWh.</t>
        </is>
      </c>
      <c r="E9" s="42" t="inlineStr">
        <is>
          <t>Storage Power</t>
        </is>
      </c>
    </row>
    <row r="10">
      <c r="A10" s="42" t="inlineStr">
        <is>
          <t>Metric</t>
        </is>
      </c>
      <c r="B10" s="42" t="inlineStr">
        <is>
          <t>A business-defined quantitative result (e.g., Generation Variance).</t>
        </is>
      </c>
      <c r="C10" s="42" t="inlineStr">
        <is>
          <t>varies</t>
        </is>
      </c>
      <c r="D10" s="42" t="inlineStr">
        <is>
          <t>Becomes a KPI only when tied to an objective/target/threshold.</t>
        </is>
      </c>
      <c r="E10" s="42" t="inlineStr">
        <is>
          <t>KPI</t>
        </is>
      </c>
    </row>
    <row r="11">
      <c r="A11" s="42" t="inlineStr">
        <is>
          <t>KPI</t>
        </is>
      </c>
      <c r="B11" s="42" t="inlineStr">
        <is>
          <t>A metric tied to an objective, target, threshold or status for performance monitoring (e.g., Target Attainment vs 100%).</t>
        </is>
      </c>
      <c r="C11" s="42" t="inlineStr">
        <is>
          <t>%</t>
        </is>
      </c>
      <c r="D11" s="42" t="inlineStr">
        <is>
          <t>Appearing on a card does not make a number a KPI.</t>
        </is>
      </c>
      <c r="E11" s="42" t="inlineStr">
        <is>
          <t>Metric</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6" customWidth="1" style="28" min="1" max="1"/>
    <col width="22" customWidth="1" style="28" min="2" max="2"/>
    <col width="40" customWidth="1" style="28" min="3" max="3"/>
    <col width="9" customWidth="1" style="28" min="4" max="4"/>
    <col width="20" customWidth="1" style="28" min="5" max="5"/>
    <col width="8" customWidth="1" style="28" min="6" max="6"/>
    <col width="30" customWidth="1" style="28" min="7" max="7"/>
    <col width="40" customWidth="1" style="28" min="8" max="8"/>
  </cols>
  <sheetData>
    <row r="1">
      <c r="A1" s="33" t="inlineStr">
        <is>
          <t>File</t>
        </is>
      </c>
      <c r="B1" s="33" t="inlineStr">
        <is>
          <t>Field</t>
        </is>
      </c>
      <c r="C1" s="33" t="inlineStr">
        <is>
          <t>BusinessDefinition</t>
        </is>
      </c>
      <c r="D1" s="33" t="inlineStr">
        <is>
          <t>DataType</t>
        </is>
      </c>
      <c r="E1" s="33" t="inlineStr">
        <is>
          <t>Grain</t>
        </is>
      </c>
      <c r="F1" s="33" t="inlineStr">
        <is>
          <t>Unit</t>
        </is>
      </c>
      <c r="G1" s="33" t="inlineStr">
        <is>
          <t>SourceAuthority</t>
        </is>
      </c>
      <c r="H1" s="33" t="inlineStr">
        <is>
          <t>QualityRisk</t>
        </is>
      </c>
    </row>
    <row r="2">
      <c r="A2" s="42" t="inlineStr">
        <is>
          <t>Plants_Raw.csv</t>
        </is>
      </c>
      <c r="B2" s="42" t="inlineStr">
        <is>
          <t>PlantID</t>
        </is>
      </c>
      <c r="C2" s="42" t="inlineStr">
        <is>
          <t>Unique identifier of an enterprise asset (SVR-001…SVR-012).</t>
        </is>
      </c>
      <c r="D2" s="42" t="inlineStr">
        <is>
          <t>Text</t>
        </is>
      </c>
      <c r="E2" s="42" t="inlineStr">
        <is>
          <t>Plant/asset</t>
        </is>
      </c>
      <c r="F2" s="15" t="str"/>
      <c r="G2" s="42" t="inlineStr">
        <is>
          <t>Operations &amp; Engineering Plant Registry</t>
        </is>
      </c>
      <c r="H2" s="42" t="inlineStr">
        <is>
          <t>SVR-006 duplicated in Plants_Raw.csv.</t>
        </is>
      </c>
    </row>
    <row r="3">
      <c r="A3" s="42" t="inlineStr">
        <is>
          <t>Plants_Raw.csv</t>
        </is>
      </c>
      <c r="B3" s="42" t="inlineStr">
        <is>
          <t>GenerationCapacityMW</t>
        </is>
      </c>
      <c r="C3" s="42" t="inlineStr">
        <is>
          <t>Technical nameplate generation capacity; 0 for standalone BESS.</t>
        </is>
      </c>
      <c r="D3" s="42" t="inlineStr">
        <is>
          <t>Number</t>
        </is>
      </c>
      <c r="E3" s="42" t="inlineStr">
        <is>
          <t>Plant/asset</t>
        </is>
      </c>
      <c r="F3" s="42" t="inlineStr">
        <is>
          <t>MW</t>
        </is>
      </c>
      <c r="G3" s="42" t="inlineStr">
        <is>
          <t>Operations &amp; Engineering Plant Registry</t>
        </is>
      </c>
      <c r="H3" s="42" t="inlineStr">
        <is>
          <t>SVR-011 differs from Finance (150 vs 115 MW); duplicate SVR-006 inflates sums.</t>
        </is>
      </c>
    </row>
    <row r="4">
      <c r="A4" s="42" t="inlineStr">
        <is>
          <t>Generation_Daily_Raw.csv</t>
        </is>
      </c>
      <c r="B4" s="42" t="inlineStr">
        <is>
          <t>ActualGenerationMWh</t>
        </is>
      </c>
      <c r="C4" s="42" t="inlineStr">
        <is>
          <t>Validated energy actually generated by a plant on a date.</t>
        </is>
      </c>
      <c r="D4" s="42" t="inlineStr">
        <is>
          <t>Number</t>
        </is>
      </c>
      <c r="E4" s="42" t="inlineStr">
        <is>
          <t>Plant-day</t>
        </is>
      </c>
      <c r="F4" s="42" t="inlineStr">
        <is>
          <t>MWh</t>
        </is>
      </c>
      <c r="G4" s="42" t="inlineStr">
        <is>
          <t>Validated generation telemetry (Operations Analytics)</t>
        </is>
      </c>
      <c r="H4" s="42" t="inlineStr">
        <is>
          <t>Duplicate (SVR-003 09-12), blank (SVR-009 09-18), negative (SVR-005 09-22).</t>
        </is>
      </c>
    </row>
    <row r="5">
      <c r="A5" s="42" t="inlineStr">
        <is>
          <t>Forecast_Daily_Raw.csv</t>
        </is>
      </c>
      <c r="B5" s="42" t="inlineStr">
        <is>
          <t>ForecastGenerationMWh</t>
        </is>
      </c>
      <c r="C5" s="42" t="inlineStr">
        <is>
          <t>Expected energy for a plant on a date.</t>
        </is>
      </c>
      <c r="D5" s="42" t="inlineStr">
        <is>
          <t>Number</t>
        </is>
      </c>
      <c r="E5" s="42" t="inlineStr">
        <is>
          <t>Plant-day</t>
        </is>
      </c>
      <c r="F5" s="42" t="inlineStr">
        <is>
          <t>MWh</t>
        </is>
      </c>
      <c r="G5" s="42" t="inlineStr">
        <is>
          <t>Forecasting</t>
        </is>
      </c>
      <c r="H5" s="42" t="inlineStr">
        <is>
          <t>Blank on SVR-008 09-16.</t>
        </is>
      </c>
    </row>
    <row r="6">
      <c r="A6" s="42" t="inlineStr">
        <is>
          <t>Monthly_Targets_Wide.csv</t>
        </is>
      </c>
      <c r="B6" s="42" t="inlineStr">
        <is>
          <t>Sep_2026_TargetMWh</t>
        </is>
      </c>
      <c r="C6" s="42" t="inlineStr">
        <is>
          <t>September 2026 generation objective per region (wide month column).</t>
        </is>
      </c>
      <c r="D6" s="42" t="inlineStr">
        <is>
          <t>Number</t>
        </is>
      </c>
      <c r="E6" s="42" t="inlineStr">
        <is>
          <t>Region-month</t>
        </is>
      </c>
      <c r="F6" s="42" t="inlineStr">
        <is>
          <t>MWh</t>
        </is>
      </c>
      <c r="G6" s="42" t="inlineStr">
        <is>
          <t>Finance / Performance Management</t>
        </is>
      </c>
      <c r="H6" s="42" t="inlineStr">
        <is>
          <t>Wide shape; region-month grain cannot be compared directly with plant-day without aggregation.</t>
        </is>
      </c>
    </row>
    <row r="7">
      <c r="A7" s="42" t="inlineStr">
        <is>
          <t>Storage_Assets.csv</t>
        </is>
      </c>
      <c r="B7" s="42" t="inlineStr">
        <is>
          <t>StoragePowerMW</t>
        </is>
      </c>
      <c r="C7" s="42" t="inlineStr">
        <is>
          <t>Maximum storage charge/discharge power.</t>
        </is>
      </c>
      <c r="D7" s="42" t="inlineStr">
        <is>
          <t>Number</t>
        </is>
      </c>
      <c r="E7" s="42" t="inlineStr">
        <is>
          <t>Storage-enabled asset</t>
        </is>
      </c>
      <c r="F7" s="42" t="inlineStr">
        <is>
          <t>MW</t>
        </is>
      </c>
      <c r="G7" s="42" t="inlineStr">
        <is>
          <t>Storage Operations / Operations registry</t>
        </is>
      </c>
      <c r="H7" s="42" t="inlineStr">
        <is>
          <t>Must not be added to generation capacity.</t>
        </is>
      </c>
    </row>
    <row r="8">
      <c r="A8" s="42" t="inlineStr">
        <is>
          <t>Storage_Assets.csv</t>
        </is>
      </c>
      <c r="B8" s="42" t="inlineStr">
        <is>
          <t>StorageEnergyMWh</t>
        </is>
      </c>
      <c r="C8" s="42" t="inlineStr">
        <is>
          <t>Storage energy capacity.</t>
        </is>
      </c>
      <c r="D8" s="42" t="inlineStr">
        <is>
          <t>Number</t>
        </is>
      </c>
      <c r="E8" s="42" t="inlineStr">
        <is>
          <t>Storage-enabled asset</t>
        </is>
      </c>
      <c r="F8" s="42" t="inlineStr">
        <is>
          <t>MWh</t>
        </is>
      </c>
      <c r="G8" s="42" t="inlineStr">
        <is>
          <t>Storage Operations / Operations registry</t>
        </is>
      </c>
      <c r="H8" s="42" t="inlineStr">
        <is>
          <t>Semi-additive; not generated energy.</t>
        </is>
      </c>
    </row>
    <row r="9">
      <c r="A9" s="42" t="inlineStr">
        <is>
          <t>Maintenance_Events.csv</t>
        </is>
      </c>
      <c r="B9" s="42" t="inlineStr">
        <is>
          <t>DowntimeHours</t>
        </is>
      </c>
      <c r="C9" s="42" t="inlineStr">
        <is>
          <t>Hours of downtime recorded for a maintenance event.</t>
        </is>
      </c>
      <c r="D9" s="42" t="inlineStr">
        <is>
          <t>Number</t>
        </is>
      </c>
      <c r="E9" s="42" t="inlineStr">
        <is>
          <t>Maintenance event</t>
        </is>
      </c>
      <c r="F9" s="42" t="inlineStr">
        <is>
          <t>hours</t>
        </is>
      </c>
      <c r="G9" s="42" t="inlineStr">
        <is>
          <t>Maintenance system</t>
        </is>
      </c>
      <c r="H9" s="42" t="inlineStr">
        <is>
          <t>Source is Stale; overlap with low output is association, not cause.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5.13000106811523" customWidth="1" style="28" min="1" max="1"/>
    <col width="28" customWidth="1" style="28" min="2" max="2"/>
    <col width="68" customWidth="1" style="28" min="3" max="3"/>
  </cols>
  <sheetData>
    <row r="1">
      <c r="A1" s="33" t="inlineStr">
        <is>
          <t>Example</t>
        </is>
      </c>
      <c r="B1" s="33" t="inlineStr">
        <is>
          <t>BehavioralFactType</t>
        </is>
      </c>
      <c r="C1" s="33" t="inlineStr">
        <is>
          <t>Why</t>
        </is>
      </c>
    </row>
    <row r="2">
      <c r="A2" s="42" t="inlineStr">
        <is>
          <t>Plant interval or daily generation readings</t>
        </is>
      </c>
      <c r="B2" s="42" t="inlineStr">
        <is>
          <t>Transactional / interval fact</t>
        </is>
      </c>
      <c r="C2" s="42" t="inlineStr">
        <is>
          <t>Records measurable activity for each time interval/period.</t>
        </is>
      </c>
    </row>
    <row r="3">
      <c r="A3" s="42" t="inlineStr">
        <is>
          <t>Daily BESS state-of-charge snapshot</t>
        </is>
      </c>
      <c r="B3" s="42" t="inlineStr">
        <is>
          <t>Periodic snapshot</t>
        </is>
      </c>
      <c r="C3" s="42" t="inlineStr">
        <is>
          <t>Captures state at a point/period and should not normally be summed across time.</t>
        </is>
      </c>
    </row>
    <row r="4">
      <c r="A4" s="42" t="inlineStr">
        <is>
          <t>Maintenance work order from raised to closed</t>
        </is>
      </c>
      <c r="B4" s="42" t="inlineStr">
        <is>
          <t>Accumulating snapshot</t>
        </is>
      </c>
      <c r="C4" s="42" t="inlineStr">
        <is>
          <t>Tracks a process accumulating milestone dates/status through a lifecycle.</t>
        </is>
      </c>
    </row>
    <row r="5">
      <c r="A5" s="42" t="inlineStr">
        <is>
          <t>Planned inspection schedule</t>
        </is>
      </c>
      <c r="B5" s="42" t="inlineStr">
        <is>
          <t>Factless fact</t>
        </is>
      </c>
      <c r="C5" s="42" t="inlineStr">
        <is>
          <t>Records that an event/relationship exists even when there is no additive numeric measure.</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style="28" min="1" max="1"/>
    <col width="18" customWidth="1" style="28" min="2" max="2"/>
    <col width="16" customWidth="1" style="28" min="3" max="3"/>
    <col width="26" customWidth="1" style="28" min="4" max="4"/>
    <col width="34" customWidth="1" style="28" min="5" max="5"/>
    <col width="14" customWidth="1" style="28" min="6" max="6"/>
    <col width="40" customWidth="1" style="28" min="7" max="7"/>
  </cols>
  <sheetData>
    <row r="1">
      <c r="A1" s="33" t="inlineStr">
        <is>
          <t>KPI/Metric</t>
        </is>
      </c>
      <c r="B1" s="33" t="inlineStr">
        <is>
          <t>LeadingOrLagging</t>
        </is>
      </c>
      <c r="C1" s="33" t="inlineStr">
        <is>
          <t>Target</t>
        </is>
      </c>
      <c r="D1" s="33" t="inlineStr">
        <is>
          <t>ToleranceBand</t>
        </is>
      </c>
      <c r="E1" s="33" t="inlineStr">
        <is>
          <t>StatusLogic</t>
        </is>
      </c>
      <c r="F1" s="33" t="inlineStr">
        <is>
          <t>ReportingCadence</t>
        </is>
      </c>
      <c r="G1" s="33" t="inlineStr">
        <is>
          <t>WhyItMatters</t>
        </is>
      </c>
    </row>
    <row r="2">
      <c r="A2" s="42" t="inlineStr">
        <is>
          <t>Total Actual Generation</t>
        </is>
      </c>
      <c r="B2" s="42" t="inlineStr">
        <is>
          <t>Lagging</t>
        </is>
      </c>
      <c r="C2" s="42" t="inlineStr">
        <is>
          <t>None defined</t>
        </is>
      </c>
      <c r="D2" s="42" t="inlineStr">
        <is>
          <t>No RAG tolerance supplied</t>
        </is>
      </c>
      <c r="E2" s="42" t="inlineStr">
        <is>
          <t>Treat as a metric unless explicitly linked to a target/status rule.</t>
        </is>
      </c>
      <c r="F2" s="42" t="inlineStr">
        <is>
          <t>Daily</t>
        </is>
      </c>
      <c r="G2" s="42" t="inlineStr">
        <is>
          <t>Reports realized output (daily operational / monthly management).</t>
        </is>
      </c>
    </row>
    <row r="3">
      <c r="A3" s="42" t="inlineStr">
        <is>
          <t>Generation Variance %</t>
        </is>
      </c>
      <c r="B3" s="42" t="inlineStr">
        <is>
          <t>Lagging</t>
        </is>
      </c>
      <c r="C3" s="42" t="inlineStr">
        <is>
          <t>0% neutral point</t>
        </is>
      </c>
      <c r="D3" s="42" t="inlineStr">
        <is>
          <t>Do not invent R/A/G thresholds; none approved</t>
        </is>
      </c>
      <c r="E3" s="42" t="inlineStr">
        <is>
          <t>Show positive/negative direction; tolerance status needs owner approval.</t>
        </is>
      </c>
      <c r="F3" s="42" t="inlineStr">
        <is>
          <t>Daily</t>
        </is>
      </c>
      <c r="G3" s="42" t="inlineStr">
        <is>
          <t>Describes realized forecast error (daily and monthly).</t>
        </is>
      </c>
    </row>
    <row r="4">
      <c r="A4" s="42" t="inlineStr">
        <is>
          <t>Target Attainment</t>
        </is>
      </c>
      <c r="B4" s="42" t="inlineStr">
        <is>
          <t>Lagging</t>
        </is>
      </c>
      <c r="C4" s="42" t="inlineStr">
        <is>
          <t>100%</t>
        </is>
      </c>
      <c r="D4" s="42" t="inlineStr">
        <is>
          <t>No amber/red tolerance supplied</t>
        </is>
      </c>
      <c r="E4" s="42" t="inlineStr">
        <is>
          <t>Met when ≥100%; Below target when &lt;100%; no extra bands.</t>
        </is>
      </c>
      <c r="F4" s="42" t="inlineStr">
        <is>
          <t>Monthly</t>
        </is>
      </c>
      <c r="G4" s="42" t="inlineStr">
        <is>
          <t>Explicitly tied to a business objective. September = 98.61% → Below target.</t>
        </is>
      </c>
    </row>
    <row r="5">
      <c r="A5" s="42" t="inlineStr">
        <is>
          <t>Source Freshness</t>
        </is>
      </c>
      <c r="B5" s="42" t="inlineStr">
        <is>
          <t>Leading</t>
        </is>
      </c>
      <c r="C5" s="42" t="inlineStr">
        <is>
          <t>Meets expected cadence</t>
        </is>
      </c>
      <c r="D5" s="42" t="inlineStr">
        <is>
          <t>Fresh vs Stale per documented ExpectedBy rule</t>
        </is>
      </c>
      <c r="E5" s="42" t="inlineStr">
        <is>
          <t>Stale = downstream trust at risk.</t>
        </is>
      </c>
      <c r="F5" s="42" t="inlineStr">
        <is>
          <t>Daily</t>
        </is>
      </c>
      <c r="G5" s="42" t="inlineStr">
        <is>
          <t>Warns before stakeholders consume outdated analytics (also event-driven).</t>
        </is>
      </c>
    </row>
    <row r="6">
      <c r="A6" s="42" t="inlineStr">
        <is>
          <t>Open Data Quality Issues</t>
        </is>
      </c>
      <c r="B6" s="42" t="inlineStr">
        <is>
          <t>Context-dependent</t>
        </is>
      </c>
      <c r="C6" s="42" t="inlineStr">
        <is>
          <t>No owner-approved threshold</t>
        </is>
      </c>
      <c r="D6" s="42" t="inlineStr">
        <is>
          <t>Severity matters more than raw count</t>
        </is>
      </c>
      <c r="E6" s="42" t="inlineStr">
        <is>
          <t>No universal green threshold without governance approval.</t>
        </is>
      </c>
      <c r="F6" s="42" t="inlineStr">
        <is>
          <t>Weekly</t>
        </is>
      </c>
      <c r="G6" s="42" t="inlineStr">
        <is>
          <t>Unresolved high-impact issues can invalidate decisions (also event-driven).</t>
        </is>
      </c>
    </row>
  </sheetData>
  <dataValidations count="2">
    <dataValidation sqref="B2:B6" showDropDown="0" showInputMessage="0" showErrorMessage="0" allowBlank="0" type="list">
      <formula1>"Leading,Lagging,Context-dependent"</formula1>
    </dataValidation>
    <dataValidation sqref="F2:F6" showDropDown="0" showInputMessage="0" showErrorMessage="0" allowBlank="0" type="list">
      <formula1>"Daily,Weekly,Monthly,Event-driven"</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70" customWidth="1" style="28" min="1" max="1"/>
    <col width="50" customWidth="1" style="28" min="2" max="2"/>
    <col width="38" customWidth="1" style="28" min="3" max="3"/>
  </cols>
  <sheetData>
    <row r="1">
      <c r="A1" s="33" t="inlineStr">
        <is>
          <t>Scenario</t>
        </is>
      </c>
      <c r="B1" s="33" t="inlineStr">
        <is>
          <t>YourAnswer</t>
        </is>
      </c>
      <c r="C1" s="33" t="inlineStr">
        <is>
          <t>ExpectedConcept</t>
        </is>
      </c>
    </row>
    <row r="2">
      <c r="A2" s="42" t="inlineStr">
        <is>
          <t>A reading timestamp marks the beginning of a 15-minute production interval. What convention must be documented?</t>
        </is>
      </c>
      <c r="B2" s="42" t="inlineStr">
        <is>
          <t>Interval-start vs interval-end convention (10:00 = start of 10:00–10:15).</t>
        </is>
      </c>
      <c r="C2" s="42" t="inlineStr">
        <is>
          <t>Interval-start versus interval-end</t>
        </is>
      </c>
    </row>
    <row r="3">
      <c r="A3" s="42" t="inlineStr">
        <is>
          <t>A Pacific Northwest plant and Atlantic Coast plant report at local midnight. What risk exists if time zones are ignored?</t>
        </is>
      </c>
      <c r="B3" s="42" t="inlineStr">
        <is>
          <t>Plants report at different local midnights (Pacific vs Eastern differ by 3 h), so business dates and aggregation windows misalign.</t>
        </is>
      </c>
      <c r="C3" s="42" t="inlineStr">
        <is>
          <t>Misaligned business dates and aggregation windows</t>
        </is>
      </c>
    </row>
    <row r="4">
      <c r="A4" s="42" t="inlineStr">
        <is>
          <t>A daylight-saving transition repeats or skips a local hour. What must be defined before aggregation?</t>
        </is>
      </c>
      <c r="B4" s="42" t="inlineStr">
        <is>
          <t>Time-zone/DST handling rule (UTC storage or explicit local-time rule for repeated/skipped hours).</t>
        </is>
      </c>
      <c r="C4" s="42" t="inlineStr">
        <is>
          <t>Time-zone/DST handling</t>
        </is>
      </c>
    </row>
    <row r="5">
      <c r="A5" s="42" t="inlineStr">
        <is>
          <t>A late correction changes yesterday's generation total. What kind of data behavior is this?</t>
        </is>
      </c>
      <c r="B5" s="42" t="inlineStr">
        <is>
          <t>Late-arriving / restated data — a governed restatement policy is needed.</t>
        </is>
      </c>
      <c r="C5" s="42" t="inlineStr">
        <is>
          <t>Late-arriving/restated data</t>
        </is>
      </c>
    </row>
    <row r="6">
      <c r="A6" s="42" t="inlineStr">
        <is>
          <t>Convert 1,000 kW to MW.</t>
        </is>
      </c>
      <c r="B6" s="42" t="inlineStr">
        <is>
          <t>1 MW</t>
        </is>
      </c>
      <c r="C6" s="42" t="inlineStr">
        <is>
          <t>1 MW</t>
        </is>
      </c>
    </row>
    <row r="7">
      <c r="A7" s="42" t="inlineStr">
        <is>
          <t>Convert 1,000 kWh to MWh.</t>
        </is>
      </c>
      <c r="B7" s="42" t="inlineStr">
        <is>
          <t>1 MWh</t>
        </is>
      </c>
      <c r="C7" s="42" t="inlineStr">
        <is>
          <t>1 MWh</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60" customWidth="1" style="28" min="1" max="1"/>
    <col width="32" customWidth="1" style="28" min="2" max="2"/>
    <col width="60" customWidth="1" style="28" min="3" max="3"/>
  </cols>
  <sheetData>
    <row r="1">
      <c r="A1" s="33" t="inlineStr">
        <is>
          <t>Scenario</t>
        </is>
      </c>
      <c r="B1" s="33" t="inlineStr">
        <is>
          <t>Risk/Trap</t>
        </is>
      </c>
      <c r="C1" s="33" t="inlineStr">
        <is>
          <t>YourReasoning</t>
        </is>
      </c>
    </row>
    <row r="2">
      <c r="A2" s="42" t="inlineStr">
        <is>
          <t>Only plants still operating today are included when evaluating historic reliability.</t>
        </is>
      </c>
      <c r="B2" s="42" t="inlineStr">
        <is>
          <t>Survivorship bias</t>
        </is>
      </c>
      <c r="C2" s="42" t="inlineStr">
        <is>
          <t>Excludes failed/retired assets, so historic reliability looks better than it was.</t>
        </is>
      </c>
    </row>
    <row r="3">
      <c r="A3" s="42" t="inlineStr">
        <is>
          <t>A sample contains mostly sunny days and is used to claim annual solar performance.</t>
        </is>
      </c>
      <c r="B3" s="42" t="inlineStr">
        <is>
          <t>Sampling bias</t>
        </is>
      </c>
      <c r="C3" s="42" t="inlineStr">
        <is>
          <t>The sample does not represent the full operating-condition distribution (cloudy/winter days missing).</t>
        </is>
      </c>
    </row>
    <row r="4">
      <c r="A4" s="42" t="inlineStr">
        <is>
          <t>A three-day rise in production is called a long-term trend without checking seasonal patterns.</t>
        </is>
      </c>
      <c r="B4" s="42" t="inlineStr">
        <is>
          <t>Seasonality mistaken for trend</t>
        </is>
      </c>
      <c r="C4" s="42" t="inlineStr">
        <is>
          <t>Short-term movement may be weather/seasonal; compare a longer, like-for-like period.</t>
        </is>
      </c>
    </row>
    <row r="5">
      <c r="A5" s="42" t="inlineStr">
        <is>
          <t>Maintenance occurs on a low-generation day and is immediately declared the cause.</t>
        </is>
      </c>
      <c r="B5" s="42" t="inlineStr">
        <is>
          <t>Correlation mistaken for causation</t>
        </is>
      </c>
      <c r="C5" s="42" t="inlineStr">
        <is>
          <t>Coincidence is an observation/association; cause needs equipment, outage, weather, curtailment and timestamp evidence.</t>
        </is>
      </c>
    </row>
    <row r="6">
      <c r="A6" s="42" t="inlineStr">
        <is>
          <t>Regional percentages are averaged without considering the business denominator or weighting.</t>
        </is>
      </c>
      <c r="B6" s="42" t="inlineStr">
        <is>
          <t>Aggregation/weighting trap</t>
        </is>
      </c>
      <c r="C6" s="42" t="inlineStr">
        <is>
          <t>Equal averaging misrepresents groups with different denominators; recompute from totals or justified weights.</t>
        </is>
      </c>
    </row>
  </sheetData>
  <dataValidations count="1">
    <dataValidation sqref="B2:B6" showDropDown="0" showInputMessage="0" showErrorMessage="0" allowBlank="0" type="list">
      <formula1>"Survivorship bias,Sampling bias,Seasonality mistaken for trend,Correlation mistaken for causation,Aggregation/weighting trap"</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6" customWidth="1" style="28" min="1" max="1"/>
    <col width="16" customWidth="1" style="28" min="2" max="2"/>
    <col width="50" customWidth="1" style="28" min="3" max="3"/>
    <col width="44" customWidth="1" style="28" min="4" max="4"/>
  </cols>
  <sheetData>
    <row r="1">
      <c r="A1" s="33" t="inlineStr">
        <is>
          <t>CandidateField</t>
        </is>
      </c>
      <c r="B1" s="33" t="inlineStr">
        <is>
          <t>NeededForPortfolioGenerationDashboard?</t>
        </is>
      </c>
      <c r="C1" s="33" t="inlineStr">
        <is>
          <t>Reason</t>
        </is>
      </c>
      <c r="D1" s="33" t="inlineStr">
        <is>
          <t>RiskIfIncludedWithoutNeed</t>
        </is>
      </c>
    </row>
    <row r="2">
      <c r="A2" s="42" t="inlineStr">
        <is>
          <t>PlantID</t>
        </is>
      </c>
      <c r="B2" s="42" t="inlineStr">
        <is>
          <t>Yes</t>
        </is>
      </c>
      <c r="C2" s="42" t="inlineStr">
        <is>
          <t>Identifies the asset whose generation is analyzed.</t>
        </is>
      </c>
      <c r="D2" s="42" t="inlineStr">
        <is>
          <t>Low — business identifier.</t>
        </is>
      </c>
    </row>
    <row r="3">
      <c r="A3" s="42" t="inlineStr">
        <is>
          <t>Region</t>
        </is>
      </c>
      <c r="B3" s="42" t="inlineStr">
        <is>
          <t>Yes</t>
        </is>
      </c>
      <c r="C3" s="42" t="inlineStr">
        <is>
          <t>Required for regional comparison.</t>
        </is>
      </c>
      <c r="D3" s="42" t="inlineStr">
        <is>
          <t>Low.</t>
        </is>
      </c>
    </row>
    <row r="4">
      <c r="A4" s="42" t="inlineStr">
        <is>
          <t>TechnicianName</t>
        </is>
      </c>
      <c r="B4" s="42" t="inlineStr">
        <is>
          <t>No</t>
        </is>
      </c>
      <c r="C4" s="42" t="inlineStr">
        <is>
          <t>Not needed for portfolio-generation decisions.</t>
        </is>
      </c>
      <c r="D4" s="42" t="inlineStr">
        <is>
          <t>Exposes personal identity without purpose.</t>
        </is>
      </c>
    </row>
    <row r="5">
      <c r="A5" s="42" t="inlineStr">
        <is>
          <t>TechnicianPersonalMobile</t>
        </is>
      </c>
      <c r="B5" s="42" t="inlineStr">
        <is>
          <t>No</t>
        </is>
      </c>
      <c r="C5" s="42" t="inlineStr">
        <is>
          <t>Never needed for this analytical purpose.</t>
        </is>
      </c>
      <c r="D5" s="42" t="inlineStr">
        <is>
          <t>Personal contact data exposure / misuse.</t>
        </is>
      </c>
    </row>
    <row r="6">
      <c r="A6" s="42" t="inlineStr">
        <is>
          <t>EmployeeID</t>
        </is>
      </c>
      <c r="B6" s="42" t="inlineStr">
        <is>
          <t>No</t>
        </is>
      </c>
      <c r="C6" s="42" t="inlineStr">
        <is>
          <t>Not needed; personnel identifier.</t>
        </is>
      </c>
      <c r="D6" s="42" t="inlineStr">
        <is>
          <t>Enables linkage to HR data without justification.</t>
        </is>
      </c>
    </row>
    <row r="7">
      <c r="A7" s="42" t="inlineStr">
        <is>
          <t>HomeAddress</t>
        </is>
      </c>
      <c r="B7" s="42" t="inlineStr">
        <is>
          <t>No</t>
        </is>
      </c>
      <c r="C7" s="42" t="inlineStr">
        <is>
          <t>Never needed.</t>
        </is>
      </c>
      <c r="D7" s="42" t="inlineStr">
        <is>
          <t>Serious personal-data exposure.</t>
        </is>
      </c>
    </row>
    <row r="8">
      <c r="A8" s="42" t="inlineStr">
        <is>
          <t>SafetyCertificationStatus</t>
        </is>
      </c>
      <c r="B8" s="42" t="inlineStr">
        <is>
          <t>Depends</t>
        </is>
      </c>
      <c r="C8" s="42" t="inlineStr">
        <is>
          <t>Not on the portfolio dashboard; only in a separately justified safety/compliance product.</t>
        </is>
      </c>
      <c r="D8" s="42" t="inlineStr">
        <is>
          <t>Personal compliance data shown to an audience without need.</t>
        </is>
      </c>
    </row>
  </sheetData>
  <dataValidations count="1">
    <dataValidation sqref="B2:B8" showDropDown="0" showInputMessage="0" showErrorMessage="0" allowBlank="0" type="list">
      <formula1>"Yes,No,Depends"</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style="28" min="1" max="1"/>
    <col width="32" customWidth="1" style="28" min="2" max="2"/>
    <col width="62" customWidth="1" style="28" min="3" max="3"/>
    <col width="18" customWidth="1" style="28" min="4" max="4"/>
    <col width="34" customWidth="1" style="28" min="5" max="5"/>
  </cols>
  <sheetData>
    <row r="1">
      <c r="A1" s="41" t="inlineStr">
        <is>
          <t>Checkpoint</t>
        </is>
      </c>
      <c r="B1" s="41" t="inlineStr">
        <is>
          <t>What You Confirm</t>
        </is>
      </c>
      <c r="C1" s="41" t="inlineStr">
        <is>
          <t>Expected Result / Evidence</t>
        </is>
      </c>
      <c r="D1" s="41" t="inlineStr">
        <is>
          <t>Your Status</t>
        </is>
      </c>
      <c r="E1" s="41" t="inlineStr">
        <is>
          <t>Your Notes</t>
        </is>
      </c>
    </row>
    <row r="2">
      <c r="A2" s="15" t="inlineStr">
        <is>
          <t>Checkpoint 1</t>
        </is>
      </c>
      <c r="B2" s="15" t="inlineStr">
        <is>
          <t>Enterprise and source orientation</t>
        </is>
      </c>
      <c r="C2" s="15" t="inlineStr">
        <is>
          <t>7 technology families; 12 assets; 11 generating assets; standalone BESS identified correctly</t>
        </is>
      </c>
      <c r="D2" s="15" t="inlineStr">
        <is>
          <t>Confirmed</t>
        </is>
      </c>
      <c r="E2" s="42" t="inlineStr">
        <is>
          <t>Technologies.csv 9 codes → 7 families; Plants_Raw.csv 13 rows but 12 unique assets; SVR-010 GenerationCapacityMW = 0 (100 MW / 400 MWh storage); SVR-011/012 hybrids.</t>
        </is>
      </c>
    </row>
    <row r="3">
      <c r="A3" s="15" t="inlineStr">
        <is>
          <t>Checkpoint 2</t>
        </is>
      </c>
      <c r="B3" s="15" t="inlineStr">
        <is>
          <t>Requirements and source authority</t>
        </is>
      </c>
      <c r="C3" s="15" t="inlineStr">
        <is>
          <t>Six stakeholder needs translated into decisions/questions; Operations &amp; Engineering selected for technical nameplate capacity</t>
        </is>
      </c>
      <c r="D3" s="15" t="inlineStr">
        <is>
          <t>Confirmed</t>
        </is>
      </c>
      <c r="E3" s="42" t="inlineStr">
        <is>
          <t>Six stakeholders captured in Requirements; forecast ≠ target; Ops &amp; Engineering authority; maintenance as hypothesis.</t>
        </is>
      </c>
    </row>
    <row r="4">
      <c r="A4" s="15" t="inlineStr">
        <is>
          <t>Checkpoint 3</t>
        </is>
      </c>
      <c r="B4" s="15" t="inlineStr">
        <is>
          <t>Grain and field meaning</t>
        </is>
      </c>
      <c r="C4" s="15" t="inlineStr">
        <is>
          <t>Plant master, plant-day actual, plant-day forecast, region-month target, region-day summary, storage asset, maintenance event and freshness grains stated correctly</t>
        </is>
      </c>
      <c r="D4" s="15" t="inlineStr">
        <is>
          <t>Confirmed</t>
        </is>
      </c>
      <c r="E4" s="42" t="inlineStr">
        <is>
          <t>Grains stated in Data_Dictionary_Starter; regional summary reconciles to plant-day detail (same MWh).</t>
        </is>
      </c>
    </row>
    <row r="5">
      <c r="A5" s="15" t="inlineStr">
        <is>
          <t>Checkpoint 4</t>
        </is>
      </c>
      <c r="B5" s="15" t="inlineStr">
        <is>
          <t>Metric/KPI definitions</t>
        </is>
      </c>
      <c r="C5" s="15" t="inlineStr">
        <is>
          <t>Generation Variance = Actual - Forecast; Variance % denominator = Forecast; Target Attainment denominator = Target</t>
        </is>
      </c>
      <c r="D5" s="15" t="inlineStr">
        <is>
          <t>Confirmed</t>
        </is>
      </c>
      <c r="E5" s="42" t="inlineStr">
        <is>
          <t>Metric_Cards and KPI_Design complete; only explicit target is 100% attainment.</t>
        </is>
      </c>
    </row>
    <row r="6">
      <c r="A6" s="15" t="inlineStr">
        <is>
          <t>Checkpoint 5</t>
        </is>
      </c>
      <c r="B6" s="15" t="inlineStr">
        <is>
          <t>Quality and reasoning</t>
        </is>
      </c>
      <c r="C6" s="15" t="inlineStr">
        <is>
          <t>All planted issues found; simple average 89.50%; weighted average 81.73%; Simpson overall A 30.66%, B 79.34%</t>
        </is>
      </c>
      <c r="D6" s="15" t="inlineStr">
        <is>
          <t>Confirmed</t>
        </is>
      </c>
      <c r="E6" s="42" t="inlineStr">
        <is>
          <t>10 planted issues found (+2 additional observations logged as Open); Weighting 89.50% / 81.73%; Simpson A 30.66%, B 79.34%.</t>
        </is>
      </c>
    </row>
    <row r="7">
      <c r="A7" s="15" t="inlineStr">
        <is>
          <t>Checkpoint 6</t>
        </is>
      </c>
      <c r="B7" s="15" t="inlineStr">
        <is>
          <t>Final reconciliation</t>
        </is>
      </c>
      <c r="C7" s="15" t="inlineStr">
        <is>
          <t>Use Validation folder to reconcile the complete authoritative baseline</t>
        </is>
      </c>
      <c r="D7" s="15" t="inlineStr">
        <is>
          <t>Confirmed</t>
        </is>
      </c>
      <c r="E7" s="42" t="inlineStr">
        <is>
          <t>All 13 portfolio values and all 4 regions reconcile with zero difference (Validation_Scratchpad, Final_Region_Reconciliation).</t>
        </is>
      </c>
    </row>
  </sheetData>
  <dataValidations count="1">
    <dataValidation sqref="D2:D7" showDropDown="0" showInputMessage="0" showErrorMessage="0" allowBlank="0" type="list">
      <formula1>"Not Checked,Confirmed,Needs Review"</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O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style="28" min="1" max="1"/>
    <col width="18" customWidth="1" style="28" min="2" max="2"/>
    <col width="13" customWidth="1" style="28" min="3" max="3"/>
    <col width="13" customWidth="1" style="28" min="4" max="4"/>
    <col width="12" customWidth="1" style="28" min="5" max="5"/>
    <col width="11" customWidth="1" style="28" min="6" max="6"/>
    <col width="13" customWidth="1" style="28" min="7" max="7"/>
    <col width="11" customWidth="1" style="28" min="8" max="8"/>
    <col width="13" customWidth="1" style="28" min="9" max="9"/>
    <col width="13" customWidth="1" style="28" min="10" max="10"/>
    <col width="13" customWidth="1" style="28" min="11" max="11"/>
    <col width="9" customWidth="1" style="28" min="12" max="12"/>
    <col width="9" customWidth="1" style="28" min="13" max="13"/>
    <col width="9" customWidth="1" style="28" min="14" max="14"/>
    <col width="11" customWidth="1" style="28" min="15" max="15"/>
  </cols>
  <sheetData>
    <row r="1">
      <c r="A1" s="51" t="inlineStr">
        <is>
          <t>RegionID</t>
        </is>
      </c>
      <c r="B1" s="51" t="inlineStr">
        <is>
          <t>RegionName</t>
        </is>
      </c>
      <c r="C1" s="51" t="inlineStr">
        <is>
          <t>Actual MWh</t>
        </is>
      </c>
      <c r="D1" s="51" t="inlineStr">
        <is>
          <t>Forecast MWh</t>
        </is>
      </c>
      <c r="E1" s="51" t="inlineStr">
        <is>
          <t>Variance MWh</t>
        </is>
      </c>
      <c r="F1" s="51" t="inlineStr">
        <is>
          <t>Variance %</t>
        </is>
      </c>
      <c r="G1" s="51" t="inlineStr">
        <is>
          <t>Target MWh</t>
        </is>
      </c>
      <c r="H1" s="51" t="inlineStr">
        <is>
          <t>Target Attainment</t>
        </is>
      </c>
      <c r="I1" s="51" t="inlineStr">
        <is>
          <t>Exp Actual</t>
        </is>
      </c>
      <c r="J1" s="51" t="inlineStr">
        <is>
          <t>Exp Forecast</t>
        </is>
      </c>
      <c r="K1" s="51" t="inlineStr">
        <is>
          <t>Exp Target</t>
        </is>
      </c>
      <c r="L1" s="51" t="inlineStr">
        <is>
          <t>Δ Actual</t>
        </is>
      </c>
      <c r="M1" s="51" t="inlineStr">
        <is>
          <t>Δ Forecast</t>
        </is>
      </c>
      <c r="N1" s="51" t="inlineStr">
        <is>
          <t>Δ Target</t>
        </is>
      </c>
      <c r="O1" s="51" t="inlineStr">
        <is>
          <t>Reconciled?</t>
        </is>
      </c>
    </row>
    <row r="2">
      <c r="A2" t="inlineStr">
        <is>
          <t>R01</t>
        </is>
      </c>
      <c r="B2" t="inlineStr">
        <is>
          <t>Pacific Northwest</t>
        </is>
      </c>
      <c r="C2" s="52" t="n">
        <v>181498.41</v>
      </c>
      <c r="D2" s="52" t="n">
        <v>181639.75</v>
      </c>
      <c r="E2" s="52">
        <f>C2-D2</f>
        <v/>
      </c>
      <c r="F2" s="48">
        <f>E2/D2</f>
        <v/>
      </c>
      <c r="G2" s="52" t="n">
        <v>184364.35</v>
      </c>
      <c r="H2" s="43">
        <f>C2/G2</f>
        <v/>
      </c>
      <c r="I2" s="52" t="n">
        <v>181498.41</v>
      </c>
      <c r="J2" s="52" t="n">
        <v>181639.75</v>
      </c>
      <c r="K2" s="52" t="n">
        <v>184364.35</v>
      </c>
      <c r="L2" s="52">
        <f>ROUND(C2-I2,2)</f>
        <v/>
      </c>
      <c r="M2" s="52">
        <f>ROUND(D2-J2,2)</f>
        <v/>
      </c>
      <c r="N2" s="52">
        <f>ROUND(G2-K2,2)</f>
        <v/>
      </c>
      <c r="O2">
        <f>IF(AND(L2=0,M2=0,N2=0),"Yes","No")</f>
        <v/>
      </c>
    </row>
    <row r="3">
      <c r="A3" t="inlineStr">
        <is>
          <t>R02</t>
        </is>
      </c>
      <c r="B3" t="inlineStr">
        <is>
          <t>Desert Southwest</t>
        </is>
      </c>
      <c r="C3" s="52" t="n">
        <v>173553.93</v>
      </c>
      <c r="D3" s="52" t="n">
        <v>173351.32</v>
      </c>
      <c r="E3" s="52">
        <f>C3-D3</f>
        <v/>
      </c>
      <c r="F3" s="48">
        <f>E3/D3</f>
        <v/>
      </c>
      <c r="G3" s="52" t="n">
        <v>175951.59</v>
      </c>
      <c r="H3" s="43">
        <f>C3/G3</f>
        <v/>
      </c>
      <c r="I3" s="52" t="n">
        <v>173553.93</v>
      </c>
      <c r="J3" s="52" t="n">
        <v>173351.32</v>
      </c>
      <c r="K3" s="52" t="n">
        <v>175951.59</v>
      </c>
      <c r="L3" s="52">
        <f>ROUND(C3-I3,2)</f>
        <v/>
      </c>
      <c r="M3" s="52">
        <f>ROUND(D3-J3,2)</f>
        <v/>
      </c>
      <c r="N3" s="52">
        <f>ROUND(G3-K3,2)</f>
        <v/>
      </c>
      <c r="O3">
        <f>IF(AND(L3=0,M3=0,N3=0),"Yes","No")</f>
        <v/>
      </c>
    </row>
    <row r="4">
      <c r="A4" t="inlineStr">
        <is>
          <t>R03</t>
        </is>
      </c>
      <c r="B4" t="inlineStr">
        <is>
          <t>Great Plains</t>
        </is>
      </c>
      <c r="C4" s="52" t="n">
        <v>167679.86</v>
      </c>
      <c r="D4" s="52" t="n">
        <v>167442.43</v>
      </c>
      <c r="E4" s="52">
        <f>C4-D4</f>
        <v/>
      </c>
      <c r="F4" s="48">
        <f>E4/D4</f>
        <v/>
      </c>
      <c r="G4" s="52" t="n">
        <v>169954.07</v>
      </c>
      <c r="H4" s="43">
        <f>C4/G4</f>
        <v/>
      </c>
      <c r="I4" s="52" t="n">
        <v>167679.86</v>
      </c>
      <c r="J4" s="52" t="n">
        <v>167442.43</v>
      </c>
      <c r="K4" s="52" t="n">
        <v>169954.07</v>
      </c>
      <c r="L4" s="52">
        <f>ROUND(C4-I4,2)</f>
        <v/>
      </c>
      <c r="M4" s="52">
        <f>ROUND(D4-J4,2)</f>
        <v/>
      </c>
      <c r="N4" s="52">
        <f>ROUND(G4-K4,2)</f>
        <v/>
      </c>
      <c r="O4">
        <f>IF(AND(L4=0,M4=0,N4=0),"Yes","No")</f>
        <v/>
      </c>
    </row>
    <row r="5">
      <c r="A5" t="inlineStr">
        <is>
          <t>R04</t>
        </is>
      </c>
      <c r="B5" t="inlineStr">
        <is>
          <t>Atlantic Coast</t>
        </is>
      </c>
      <c r="C5" s="52" t="n">
        <v>154651.2</v>
      </c>
      <c r="D5" s="52" t="n">
        <v>154365.78</v>
      </c>
      <c r="E5" s="52">
        <f>C5-D5</f>
        <v/>
      </c>
      <c r="F5" s="48">
        <f>E5/D5</f>
        <v/>
      </c>
      <c r="G5" s="52" t="n">
        <v>156681.27</v>
      </c>
      <c r="H5" s="43">
        <f>C5/G5</f>
        <v/>
      </c>
      <c r="I5" s="52" t="n">
        <v>154651.2</v>
      </c>
      <c r="J5" s="52" t="n">
        <v>154365.78</v>
      </c>
      <c r="K5" s="52" t="n">
        <v>156681.27</v>
      </c>
      <c r="L5" s="52">
        <f>ROUND(C5-I5,2)</f>
        <v/>
      </c>
      <c r="M5" s="52">
        <f>ROUND(D5-J5,2)</f>
        <v/>
      </c>
      <c r="N5" s="52">
        <f>ROUND(G5-K5,2)</f>
        <v/>
      </c>
      <c r="O5">
        <f>IF(AND(L5=0,M5=0,N5=0),"Yes","No")</f>
        <v/>
      </c>
    </row>
    <row r="6">
      <c r="A6" t="inlineStr">
        <is>
          <t>Total</t>
        </is>
      </c>
      <c r="B6" t="inlineStr">
        <is>
          <t>Portfolio</t>
        </is>
      </c>
      <c r="C6" s="52">
        <f>SUM(C2:C5)</f>
        <v/>
      </c>
      <c r="D6" s="52">
        <f>SUM(D2:D5)</f>
        <v/>
      </c>
      <c r="E6" s="52">
        <f>C6-D6</f>
        <v/>
      </c>
      <c r="F6" s="48">
        <f>E6/D6</f>
        <v/>
      </c>
      <c r="G6" s="52">
        <f>SUM(G2:G5)</f>
        <v/>
      </c>
      <c r="H6" s="43">
        <f>C6/G6</f>
        <v/>
      </c>
      <c r="I6" s="52">
        <f>SUM(I2:I5)</f>
        <v/>
      </c>
      <c r="J6" s="52">
        <f>SUM(J2:J5)</f>
        <v/>
      </c>
      <c r="K6" s="52">
        <f>SUM(K2:K5)</f>
        <v/>
      </c>
      <c r="L6" s="52">
        <f>ROUND(C6-I6,2)</f>
        <v/>
      </c>
      <c r="M6" s="52">
        <f>ROUND(D6-J6,2)</f>
        <v/>
      </c>
      <c r="N6" s="52">
        <f>ROUND(G6-K6,2)</f>
        <v/>
      </c>
      <c r="O6">
        <f>IF(AND(L6=0,M6=0,N6=0),"Yes","No")</f>
        <v/>
      </c>
    </row>
    <row r="8" ht="45" customHeight="1" s="28">
      <c r="A8" t="inlineStr">
        <is>
          <t>Note</t>
        </is>
      </c>
      <c r="B8" s="50" t="inlineStr">
        <is>
          <t>Actual/Forecast/Target columns recomputed from plant-day clean records joined to the Operations registry RegionID (SVR-009 → R03). Expected columns transcribed from Validation/Expected_Region_Values.csv. Percentages are recomputed from regional totals, never averaged.</t>
        </is>
      </c>
      <c r="C8" s="1" t="n"/>
      <c r="D8" s="1" t="n"/>
      <c r="E8" s="1" t="n"/>
      <c r="F8" s="1" t="n"/>
      <c r="G8" s="1" t="n"/>
      <c r="H8" s="1" t="n"/>
      <c r="I8" s="1" t="n"/>
      <c r="J8" s="1" t="n"/>
      <c r="K8" s="1" t="n"/>
      <c r="L8" s="1" t="n"/>
      <c r="M8" s="1" t="n"/>
      <c r="N8" s="1" t="n"/>
      <c r="O8" s="1" t="n"/>
    </row>
  </sheetData>
  <mergeCells count="1">
    <mergeCell ref="B8:O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0" customWidth="1" style="28" min="1" max="1"/>
    <col width="16" customWidth="1" style="28" min="2" max="2"/>
    <col width="60" customWidth="1" style="28" min="3" max="3"/>
    <col width="42" customWidth="1" style="28" min="4" max="4"/>
    <col width="42" customWidth="1" style="28" min="5" max="5"/>
  </cols>
  <sheetData>
    <row r="1">
      <c r="A1" s="38" t="inlineStr">
        <is>
          <t>Claim</t>
        </is>
      </c>
      <c r="B1" s="38" t="inlineStr">
        <is>
          <t>Verdict</t>
        </is>
      </c>
      <c r="C1" s="38" t="inlineStr">
        <is>
          <t>Evidence</t>
        </is>
      </c>
      <c r="D1" s="38" t="inlineStr">
        <is>
          <t>Why</t>
        </is>
      </c>
      <c r="E1" s="38" t="inlineStr">
        <is>
          <t>How validated</t>
        </is>
      </c>
    </row>
    <row r="2">
      <c r="A2" s="42" t="inlineStr">
        <is>
          <t>Maintenance caused Atlantic Coast to miss forecast.</t>
        </is>
      </c>
      <c r="B2" s="42" t="inlineStr">
        <is>
          <t>Reject as written</t>
        </is>
      </c>
      <c r="C2" s="42" t="inlineStr">
        <is>
          <t>R04 Sept: Actual 154,651.20 vs Forecast 154,365.78 MWh → Variance +285.42 MWh (+0.1849%). Region did NOT miss forecast. Maintenance M-004/M-005 on SVR-007 (9–10 Sep): output was low in absolute terms (2,762.49 and 2,514.96 MWh vs ~3,602 MWh plant average) but at/above forecast (+56.88 and +0.07 MWh) — the forecast already expected it.</t>
        </is>
      </c>
      <c r="D2" s="42" t="inlineStr">
        <is>
          <t>Combines a causal leap with a factually incorrect month-level conclusion. Coincidence = association/hypothesis.</t>
        </is>
      </c>
      <c r="E2" s="42" t="inlineStr">
        <is>
          <t>Expected_Region_Values.csv R04; cause would need equipment state, outage scope, weather, curtailment, timestamps, recovery behavior.</t>
        </is>
      </c>
    </row>
    <row r="3">
      <c r="A3" s="42" t="inlineStr">
        <is>
          <t>Finance shows SunStore Hybrid at 115 MW, so use 115 MW.</t>
        </is>
      </c>
      <c r="B3" s="42" t="inlineStr">
        <is>
          <t>Reject</t>
        </is>
      </c>
      <c r="C3" s="42" t="inlineStr">
        <is>
          <t>Plant_Register_Operations.csv SVR-011 = 150 MW; Plant_Register_Finance.csv = 115 MW.</t>
        </is>
      </c>
      <c r="D3" s="42" t="inlineStr">
        <is>
          <t>Stakeholder pack names Operations &amp; Engineering as technical nameplate authority; Finance serves financial treatment.</t>
        </is>
      </c>
      <c r="E3" s="42" t="inlineStr">
        <is>
          <t>Compare registers; decision documented (DQ-09). Final reference data also uses 150 MW → 2,190 MW total.</t>
        </is>
      </c>
    </row>
    <row r="4">
      <c r="A4" s="42" t="inlineStr">
        <is>
          <t>Add the regional summary to plant generation.</t>
        </is>
      </c>
      <c r="B4" s="42" t="inlineStr">
        <is>
          <t>Reject</t>
        </is>
      </c>
      <c r="C4" s="42" t="inlineStr">
        <is>
          <t>Regional_Generation_Summary.csv totals 677,383.40 MWh — identical to the plant-day total; every region-date reconciles exactly.</t>
        </is>
      </c>
      <c r="D4" s="42" t="inlineStr">
        <is>
          <t>Different grain ≠ different business event; addition doubles the portfolio.</t>
        </is>
      </c>
      <c r="E4" s="42" t="inlineStr">
        <is>
          <t>Plant-day sum per region-date compared with the summary: 120 of 120 rows match.</t>
        </is>
      </c>
    </row>
    <row r="5">
      <c r="A5" s="42" t="inlineStr">
        <is>
          <t>Professional response</t>
        </is>
      </c>
      <c r="B5" s="42" t="inlineStr">
        <is>
          <t>—</t>
        </is>
      </c>
      <c r="C5" s="42" t="inlineStr">
        <is>
          <t>"The September Atlantic Coast total is slightly above forecast, not below it. The maintenance overlap is a hypothesis requiring more evidence before causal attribution. For technical capacity, use the Operations &amp; Engineering value of 150 MW for SunStore Hybrid. Do not add the regional summary to plant-level actuals because it represents the same generation at a different grain. Before approving the product, reconcile the governed totals and document freshness, definitions, denominators and source authority."</t>
        </is>
      </c>
      <c r="D5" s="42" t="n"/>
      <c r="E5" s="4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6" customWidth="1" style="28" min="1" max="1"/>
    <col width="110" customWidth="1" style="28" min="2" max="2"/>
  </cols>
  <sheetData>
    <row r="1">
      <c r="A1" s="38" t="inlineStr">
        <is>
          <t>#</t>
        </is>
      </c>
      <c r="B1" s="38" t="inlineStr">
        <is>
          <t>Your answer</t>
        </is>
      </c>
    </row>
    <row r="2">
      <c r="A2" t="n">
        <v>1</v>
      </c>
      <c r="B2" s="42" t="inlineStr">
        <is>
          <t>Clarify the decision and the analytical question (and who owns any red/green thresholds) before choosing a dashboard or colour logic.</t>
        </is>
      </c>
    </row>
    <row r="3">
      <c r="A3" t="n">
        <v>2</v>
      </c>
      <c r="B3" s="42" t="inlineStr">
        <is>
          <t>What one row represents, e.g. one generating plant on one date in Generation_Daily_Raw.csv.</t>
        </is>
      </c>
    </row>
    <row r="4">
      <c r="A4" t="n">
        <v>3</v>
      </c>
      <c r="B4" s="42" t="inlineStr">
        <is>
          <t>Both describe the same MWh at different grains (the regional summary totals exactly 677,383.40 MWh, the same as plant-day detail), so adding them double counts.</t>
        </is>
      </c>
    </row>
    <row r="5">
      <c r="A5" t="n">
        <v>4</v>
      </c>
      <c r="B5" s="42" t="inlineStr">
        <is>
          <t>No. PlantID is a nominal identifier; digits do not make it quantitative.</t>
        </is>
      </c>
    </row>
    <row r="6">
      <c r="A6" t="n">
        <v>5</v>
      </c>
      <c r="B6" s="42" t="inlineStr">
        <is>
          <t>MW is power (rate/rated capability); MWh is energy over time (e.g. Battery Hub West: 100 MW power, 400 MWh energy).</t>
        </is>
      </c>
    </row>
    <row r="7">
      <c r="A7" t="n">
        <v>6</v>
      </c>
      <c r="B7" s="42" t="inlineStr">
        <is>
          <t>Storage has power, energy capacity, charge/discharge and state-of-charge semantics; adding its 100 MW to generation capacity would answer a different, misleading question.</t>
        </is>
      </c>
    </row>
    <row r="8">
      <c r="A8" t="n">
        <v>7</v>
      </c>
      <c r="B8" s="42" t="inlineStr">
        <is>
          <t>Actual Generation − Forecast Generation (September: +584.12 MWh).</t>
        </is>
      </c>
    </row>
    <row r="9">
      <c r="A9" t="n">
        <v>8</v>
      </c>
      <c r="B9" s="42" t="inlineStr">
        <is>
          <t>Forecast Generation (September: 584.12 ÷ 676,799.28 = +0.0863%).</t>
        </is>
      </c>
    </row>
    <row r="10">
      <c r="A10" t="n">
        <v>9</v>
      </c>
      <c r="B10" s="42" t="inlineStr">
        <is>
          <t>Target Generation (September: 677,383.40 ÷ 686,951.28 = 98.61%).</t>
        </is>
      </c>
    </row>
    <row r="11">
      <c r="A11" t="n">
        <v>10</v>
      </c>
      <c r="B11" s="42" t="inlineStr">
        <is>
          <t>What happened?</t>
        </is>
      </c>
    </row>
    <row r="12">
      <c r="A12" t="n">
        <v>11</v>
      </c>
      <c r="B12" s="42" t="inlineStr">
        <is>
          <t>Why did it happen? (requires evidence; association is not proof)</t>
        </is>
      </c>
    </row>
    <row r="13">
      <c r="A13" t="n">
        <v>12</v>
      </c>
      <c r="B13" s="42" t="inlineStr">
        <is>
          <t>What is likely to happen?</t>
        </is>
      </c>
    </row>
    <row r="14">
      <c r="A14" t="n">
        <v>13</v>
      </c>
      <c r="B14" s="42" t="inlineStr">
        <is>
          <t>What action should be taken, given objectives and constraints?</t>
        </is>
      </c>
    </row>
    <row r="15">
      <c r="A15" t="n">
        <v>14</v>
      </c>
      <c r="B15" s="42" t="inlineStr">
        <is>
          <t>Nominal.</t>
        </is>
      </c>
    </row>
    <row r="16">
      <c r="A16" t="n">
        <v>15</v>
      </c>
      <c r="B16" s="42" t="inlineStr">
        <is>
          <t>Ratio.</t>
        </is>
      </c>
    </row>
    <row r="17">
      <c r="A17" t="n">
        <v>16</v>
      </c>
      <c r="B17" s="42" t="inlineStr">
        <is>
          <t>Adding percentages ignores their different denominators; recompute from numerator and denominator totals or use a justified weighting.</t>
        </is>
      </c>
    </row>
    <row r="18">
      <c r="A18" t="n">
        <v>17</v>
      </c>
      <c r="B18" s="42" t="inlineStr">
        <is>
          <t>Completeness, validity, accuracy, consistency, uniqueness, timeliness.</t>
        </is>
      </c>
    </row>
    <row r="19">
      <c r="A19" t="n">
        <v>18</v>
      </c>
      <c r="B19" s="42" t="inlineStr">
        <is>
          <t>Use the defined technical authority (Operations &amp; Engineering, SVR-011 = 150 MW) and document the decision; never average or silently pick one.</t>
        </is>
      </c>
    </row>
    <row r="20">
      <c r="A20" t="n">
        <v>19</v>
      </c>
      <c r="B20" s="42" t="inlineStr">
        <is>
          <t>No. It is an observation/association (hypothesis) until operational evidence confirms cause.</t>
        </is>
      </c>
    </row>
    <row r="21">
      <c r="A21" t="n">
        <v>20</v>
      </c>
      <c r="B21" s="42" t="inlineStr">
        <is>
          <t>Wrong grain, duplicates, missing or invalid values, bad definitions or denominators, stale data or wrong source authority can all produce plausible numbers (raw sum 674,285.30 MWh looks plausible but is wrong).</t>
        </is>
      </c>
    </row>
    <row r="22">
      <c r="A22" t="n">
        <v>21</v>
      </c>
      <c r="B22" s="42" t="inlineStr">
        <is>
          <t>It weights both plants equally; capacity-weighted = 81.73% when capacity is the intended weight.</t>
        </is>
      </c>
    </row>
    <row r="23">
      <c r="A23" t="n">
        <v>22</v>
      </c>
      <c r="B23" s="42" t="inlineStr">
        <is>
          <t>An aggregate can reverse the relationship seen within every subgroup when subgroup mix differs (A 30.66% vs B 79.34% overall despite A winning both subgroups).</t>
        </is>
      </c>
    </row>
    <row r="24">
      <c r="A24" t="n">
        <v>23</v>
      </c>
      <c r="B24" s="42" t="inlineStr">
        <is>
          <t>Forecast = expectation; target = business objective.</t>
        </is>
      </c>
    </row>
    <row r="25">
      <c r="A25" t="n">
        <v>24</v>
      </c>
      <c r="B25" s="42" t="inlineStr">
        <is>
          <t>A KPI is a metric tied to an objective, target, threshold or status for performance monitoring.</t>
        </is>
      </c>
    </row>
    <row r="26">
      <c r="A26" t="n">
        <v>25</v>
      </c>
      <c r="B26" s="42" t="inlineStr">
        <is>
          <t>Operational processing optimised for recording transactions/events.</t>
        </is>
      </c>
    </row>
    <row r="27">
      <c r="A27" t="n">
        <v>26</v>
      </c>
      <c r="B27" s="42" t="inlineStr">
        <is>
          <t>Analytical processing optimised for multidimensional analysis and aggregation.</t>
        </is>
      </c>
    </row>
    <row r="28">
      <c r="A28" t="n">
        <v>27</v>
      </c>
      <c r="B28" s="42" t="inlineStr">
        <is>
          <t>Months are stored as separate columns (Jul/Aug/Sep_2026_TargetMWh) instead of a TargetMonth row value.</t>
        </is>
      </c>
    </row>
    <row r="29">
      <c r="A29" t="n">
        <v>28</v>
      </c>
      <c r="B29" s="42" t="inlineStr">
        <is>
          <t>Whether a field is necessary for the analytical purpose at all.</t>
        </is>
      </c>
    </row>
    <row r="30">
      <c r="A30" t="n">
        <v>29</v>
      </c>
      <c r="B30" s="42" t="inlineStr">
        <is>
          <t>A correct calculation on stale data can still support the wrong decision; timeliness is part of trust.</t>
        </is>
      </c>
    </row>
    <row r="31">
      <c r="A31" t="n">
        <v>30</v>
      </c>
      <c r="B31" s="42" t="inlineStr">
        <is>
          <t>Clear definitions, grain, source authority, quality/freshness checks, reconciled expected values, tested denominators and acceptance criteria.</t>
        </is>
      </c>
    </row>
    <row r="32">
      <c r="A32" t="n">
        <v>31</v>
      </c>
      <c r="B32" s="42" t="inlineStr">
        <is>
          <t>Periodic snapshot.</t>
        </is>
      </c>
    </row>
    <row r="33">
      <c r="A33" t="n">
        <v>32</v>
      </c>
      <c r="B33" s="42" t="inlineStr">
        <is>
          <t>Accumulating snapshot.</t>
        </is>
      </c>
    </row>
    <row r="34">
      <c r="A34" t="n">
        <v>33</v>
      </c>
      <c r="B34" s="42" t="inlineStr">
        <is>
          <t>Leading gives an earlier signal; lagging reports an outcome already realised.</t>
        </is>
      </c>
    </row>
    <row r="35">
      <c r="A35" t="n">
        <v>34</v>
      </c>
      <c r="B35" s="42" t="inlineStr">
        <is>
          <t>Otherwise records land in the wrong business period, especially across time zones and DST transitions.</t>
        </is>
      </c>
    </row>
    <row r="36">
      <c r="A36" t="n">
        <v>35</v>
      </c>
      <c r="B36" s="42" t="inlineStr">
        <is>
          <t>Include only fields necessary for the purpose; avoid unnecessary personal/sensitive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2026-10-02T15:43:35Z</dcterms:created>
  <dcterms:modified xmlns:dcterms="http://purl.org/dc/terms/" xmlns:xsi="http://www.w3.org/2001/XMLSchema-instance" xsi:type="dcterms:W3CDTF">2026-10-02T15:43:35Z</dcterms:modified>
</cp:coreProperties>
</file>
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cf19f115f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255000642a124ea1"/>
    <x:sheet xmlns:r="http://schemas.openxmlformats.org/officeDocument/2006/relationships" name="Requirements" sheetId="2" r:id="Rfa11405fcd904951"/>
    <x:sheet xmlns:r="http://schemas.openxmlformats.org/officeDocument/2006/relationships" name="Metric_Cards" sheetId="3" r:id="R5d3fab4443dd41d7"/>
    <x:sheet xmlns:r="http://schemas.openxmlformats.org/officeDocument/2006/relationships" name="Data_Quality_Audit" sheetId="4" r:id="R03ef4467d5924dd7"/>
    <x:sheet xmlns:r="http://schemas.openxmlformats.org/officeDocument/2006/relationships" name="Field_Classification" sheetId="5" r:id="Rb2aed81942a2459c"/>
    <x:sheet xmlns:r="http://schemas.openxmlformats.org/officeDocument/2006/relationships" name="Wireframe_Plan" sheetId="6" r:id="R172ac1a326fc4bb8"/>
    <x:sheet xmlns:r="http://schemas.openxmlformats.org/officeDocument/2006/relationships" name="KPI_Tree" sheetId="7" r:id="R24a967a9bf47417b"/>
    <x:sheet xmlns:r="http://schemas.openxmlformats.org/officeDocument/2006/relationships" name="Weighting_Lab" sheetId="8" r:id="Rad69707894a540ec"/>
    <x:sheet xmlns:r="http://schemas.openxmlformats.org/officeDocument/2006/relationships" name="Simpson_Lab" sheetId="9" r:id="R4c51bd0ce1154460"/>
    <x:sheet xmlns:r="http://schemas.openxmlformats.org/officeDocument/2006/relationships" name="Validation_Scratchpad" sheetId="10" r:id="Rcb6684a0e3a14db3"/>
    <x:sheet xmlns:r="http://schemas.openxmlformats.org/officeDocument/2006/relationships" name="Glossary_Starter" sheetId="11" r:id="R58cc5d2b3afc4e8a"/>
    <x:sheet xmlns:r="http://schemas.openxmlformats.org/officeDocument/2006/relationships" name="Data_Dictionary_Starter" sheetId="12" r:id="R482abdff39a24aa4"/>
    <x:sheet xmlns:r="http://schemas.openxmlformats.org/officeDocument/2006/relationships" name="Fact_Type_Awareness" sheetId="13" r:id="Ra7bc434d861d4335"/>
    <x:sheet xmlns:r="http://schemas.openxmlformats.org/officeDocument/2006/relationships" name="KPI_Design" sheetId="14" r:id="R724893fd8438448f"/>
    <x:sheet xmlns:r="http://schemas.openxmlformats.org/officeDocument/2006/relationships" name="Time_Units" sheetId="15" r:id="R9283bede653f4386"/>
    <x:sheet xmlns:r="http://schemas.openxmlformats.org/officeDocument/2006/relationships" name="Reasoning_Scenarios" sheetId="16" r:id="R0bec996d27a64750"/>
    <x:sheet xmlns:r="http://schemas.openxmlformats.org/officeDocument/2006/relationships" name="Data_Responsibility" sheetId="17" r:id="R2d85e4cc08904801"/>
    <x:sheet xmlns:r="http://schemas.openxmlformats.org/officeDocument/2006/relationships" name="Checkpoint_Tracker" sheetId="18" r:id="R751c347da2544cc4"/>
  </x:sheets>
</x:workbook>
</file>

<file path=xl/sharedStrings.xml><?xml version="1.0" encoding="utf-8"?>
<x:sst xmlns:x="http://schemas.openxmlformats.org/spreadsheetml/2006/main">
  <x:si>
    <x:t xml:space="preserve">SunnyVerse Renewable Group — Module 1 Practice Workbook</x:t>
  </x:si>
  <x:si>
    <x:t xml:space="preserve">Purpose</x:t>
  </x:si>
  <x:si>
    <x:t xml:space="preserve">This is your working workbook for Module One. Use it to record requirements, definitions, quality findings, classifications, reasoning, and checkpoint results while following the Detailed Build Guide.</x:t>
  </x:si>
  <x:si>
    <x:t xml:space="preserve">What it is not</x:t>
  </x:si>
  <x:si>
    <x:t xml:space="preserve">It is not source data. Do not move it into Source_Files or treat it as an authoritative data source.</x:t>
  </x:si>
  <x:si>
    <x:t xml:space="preserve">Reference period</x:t>
  </x:si>
  <x:si>
    <x:t xml:space="preserve">September 1–30, 2026.</x:t>
  </x:si>
  <x:si>
    <x:t xml:space="preserve">Generation Variance</x:t>
  </x:si>
  <x:si>
    <x:t xml:space="preserve">Actual Generation - Forecast Generation.</x:t>
  </x:si>
  <x:si>
    <x:t xml:space="preserve">Generation Variance %</x:t>
  </x:si>
  <x:si>
    <x:t xml:space="preserve">(Actual - Forecast) / Forecast.</x:t>
  </x:si>
  <x:si>
    <x:t xml:space="preserve">Target Attainment</x:t>
  </x:si>
  <x:si>
    <x:t xml:space="preserve">Actual Generation / Target Generation.</x:t>
  </x:si>
  <x:si>
    <x:t xml:space="preserve">Validation rule</x:t>
  </x:si>
  <x:si>
    <x:t xml:space="preserve">Use the stage validations in the Detailed Build Guide as you progress. Open the Validation folder only for the final reconciliation stage.</x:t>
  </x:si>
  <x:si>
    <x:t xml:space="preserve">RequirementID</x:t>
  </x:si>
  <x:si>
    <x:t xml:space="preserve">Stakeholder</x:t>
  </x:si>
  <x:si>
    <x:t xml:space="preserve">StatedRequest</x:t>
  </x:si>
  <x:si>
    <x:t xml:space="preserve">UnderlyingDecision</x:t>
  </x:si>
  <x:si>
    <x:t xml:space="preserve">AnalyticalQuestion</x:t>
  </x:si>
  <x:si>
    <x:t xml:space="preserve">Priority</x:t>
  </x:si>
  <x:si>
    <x:t xml:space="preserve">AcceptanceCriterion</x:t>
  </x:si>
  <x:si>
    <x:t xml:space="preserve">SourceAuthority</x:t>
  </x:si>
  <x:si>
    <x:t xml:space="preserve">Status</x:t>
  </x:si>
  <x:si>
    <x:t xml:space="preserve">REQ-01</x:t>
  </x:si>
  <x:si>
    <x:t xml:space="preserve">Not Started</x:t>
  </x:si>
  <x:si>
    <x:t xml:space="preserve">REQ-02</x:t>
  </x:si>
  <x:si>
    <x:t xml:space="preserve">REQ-03</x:t>
  </x:si>
  <x:si>
    <x:t xml:space="preserve">REQ-04</x:t>
  </x:si>
  <x:si>
    <x:t xml:space="preserve">REQ-05</x:t>
  </x:si>
  <x:si>
    <x:t xml:space="preserve">REQ-06</x:t>
  </x:si>
  <x:si>
    <x:t xml:space="preserve">REQ-07</x:t>
  </x:si>
  <x:si>
    <x:t xml:space="preserve">REQ-08</x:t>
  </x:si>
  <x:si>
    <x:t xml:space="preserve">MetricName</x:t>
  </x:si>
  <x:si>
    <x:t xml:space="preserve">BusinessQuestion</x:t>
  </x:si>
  <x:si>
    <x:t xml:space="preserve">Definition</x:t>
  </x:si>
  <x:si>
    <x:t xml:space="preserve">Inputs</x:t>
  </x:si>
  <x:si>
    <x:t xml:space="preserve">Unit</x:t>
  </x:si>
  <x:si>
    <x:t xml:space="preserve">Numerator</x:t>
  </x:si>
  <x:si>
    <x:t xml:space="preserve">Denominator</x:t>
  </x:si>
  <x:si>
    <x:t xml:space="preserve">Interpretation</x:t>
  </x:si>
  <x:si>
    <x:t xml:space="preserve">ExpectedExample</x:t>
  </x:si>
  <x:si>
    <x:t xml:space="preserve">Owner</x:t>
  </x:si>
  <x:si>
    <x:t xml:space="preserve">Total Actual Generation</x:t>
  </x:si>
  <x:si>
    <x:t xml:space="preserve">Total Forecast Generation</x:t>
  </x:si>
  <x:si>
    <x:t xml:space="preserve">Generation Variance Percentage</x:t>
  </x:si>
  <x:si>
    <x:t xml:space="preserve">IssueID</x:t>
  </x:si>
  <x:si>
    <x:t xml:space="preserve">Source</x:t>
  </x:si>
  <x:si>
    <x:t xml:space="preserve">Field/Record</x:t>
  </x:si>
  <x:si>
    <x:t xml:space="preserve">QualityDimension</x:t>
  </x:si>
  <x:si>
    <x:t xml:space="preserve">Evidence</x:t>
  </x:si>
  <x:si>
    <x:t xml:space="preserve">BusinessRisk</x:t>
  </x:si>
  <x:si>
    <x:t xml:space="preserve">Severity</x:t>
  </x:si>
  <x:si>
    <x:t xml:space="preserve">ProposedValidation</x:t>
  </x:si>
  <x:si>
    <x:t xml:space="preserve">DQ-01</x:t>
  </x:si>
  <x:si>
    <x:t xml:space="preserve">Open</x:t>
  </x:si>
  <x:si>
    <x:t xml:space="preserve">DQ-02</x:t>
  </x:si>
  <x:si>
    <x:t xml:space="preserve">DQ-03</x:t>
  </x:si>
  <x:si>
    <x:t xml:space="preserve">DQ-04</x:t>
  </x:si>
  <x:si>
    <x:t xml:space="preserve">DQ-05</x:t>
  </x:si>
  <x:si>
    <x:t xml:space="preserve">DQ-06</x:t>
  </x:si>
  <x:si>
    <x:t xml:space="preserve">DQ-07</x:t>
  </x:si>
  <x:si>
    <x:t xml:space="preserve">DQ-08</x:t>
  </x:si>
  <x:si>
    <x:t xml:space="preserve">DQ-09</x:t>
  </x:si>
  <x:si>
    <x:t xml:space="preserve">DQ-10</x:t>
  </x:si>
  <x:si>
    <x:t xml:space="preserve">DQ-11</x:t>
  </x:si>
  <x:si>
    <x:t xml:space="preserve">DQ-12</x:t>
  </x:si>
  <x:si>
    <x:t xml:space="preserve">Field</x:t>
  </x:si>
  <x:si>
    <x:t xml:space="preserve">ExampleValue</x:t>
  </x:si>
  <x:si>
    <x:t xml:space="preserve">Entity/Event</x:t>
  </x:si>
  <x:si>
    <x:t xml:space="preserve">LevelOfMeasurement</x:t>
  </x:si>
  <x:si>
    <x:t xml:space="preserve">Additivity</x:t>
  </x:si>
  <x:si>
    <x:t xml:space="preserve">WhyItMatters</x:t>
  </x:si>
  <x:si>
    <x:t xml:space="preserve">RegionID</x:t>
  </x:si>
  <x:si>
    <x:t xml:space="preserve">R02</x:t>
  </x:si>
  <x:si>
    <x:t xml:space="preserve">Region</x:t>
  </x:si>
  <x:si>
    <x:t xml:space="preserve">TechnologyFamily</x:t>
  </x:si>
  <x:si>
    <x:t xml:space="preserve">Solar</x:t>
  </x:si>
  <x:si>
    <x:t xml:space="preserve">Technology</x:t>
  </x:si>
  <x:si>
    <x:t xml:space="preserve">GenerationCapacityMW</x:t>
  </x:si>
  <x:si>
    <x:t xml:space="preserve">220</x:t>
  </x:si>
  <x:si>
    <x:t xml:space="preserve">Plant</x:t>
  </x:si>
  <x:si>
    <x:t xml:space="preserve">ActualGenerationMWh</x:t>
  </x:si>
  <x:si>
    <x:t xml:space="preserve">1250.4</x:t>
  </x:si>
  <x:si>
    <x:t xml:space="preserve">Generation Event</x:t>
  </x:si>
  <x:si>
    <x:t xml:space="preserve">Active</x:t>
  </x:si>
  <x:si>
    <x:t xml:space="preserve">Date</x:t>
  </x:si>
  <x:si>
    <x:t xml:space="preserve">2026-09-18</x:t>
  </x:si>
  <x:si>
    <x:t xml:space="preserve">StorageEnergyMWh</x:t>
  </x:si>
  <x:si>
    <x:t xml:space="preserve">400</x:t>
  </x:si>
  <x:si>
    <x:t xml:space="preserve">Storage Asset</x:t>
  </x:si>
  <x:si>
    <x:t xml:space="preserve">PageArea</x:t>
  </x:si>
  <x:si>
    <x:t xml:space="preserve">SuggestedEvidence</x:t>
  </x:si>
  <x:si>
    <x:t xml:space="preserve">WhyThisEvidence</x:t>
  </x:si>
  <x:si>
    <x:t xml:space="preserve">ValidationRule</x:t>
  </x:si>
  <x:si>
    <x:t xml:space="preserve">Top KPIs</x:t>
  </x:si>
  <x:si>
    <x:t xml:space="preserve">Region comparison</x:t>
  </x:si>
  <x:si>
    <x:t xml:space="preserve">Technology context</x:t>
  </x:si>
  <x:si>
    <x:t xml:space="preserve">Exception/quality note</x:t>
  </x:si>
  <x:si>
    <x:t xml:space="preserve">Decision note</x:t>
  </x:si>
  <x:si>
    <x:t xml:space="preserve">Outcome KPI</x:t>
  </x:si>
  <x:si>
    <x:t xml:space="preserve">Contributing Metric</x:t>
  </x:si>
  <x:si>
    <x:t xml:space="preserve">Driver/Diagnostic</x:t>
  </x:si>
  <x:si>
    <x:t xml:space="preserve">Business Meaning</x:t>
  </x:si>
  <x:si>
    <x:t xml:space="preserve">Portfolio Generation Performance</x:t>
  </x:si>
  <x:si>
    <x:t xml:space="preserve">CapacityMW</x:t>
  </x:si>
  <x:si>
    <x:t xml:space="preserve">PerformancePct</x:t>
  </x:si>
  <x:si>
    <x:t xml:space="preserve">Capacity x Performance</x:t>
  </x:si>
  <x:si>
    <x:t xml:space="preserve">Large Plant</x:t>
  </x:si>
  <x:si>
    <x:t xml:space="preserve">Small Plant</x:t>
  </x:si>
  <x:si>
    <x:t xml:space="preserve">Metric</x:t>
  </x:si>
  <x:si>
    <x:t xml:space="preserve">Result</x:t>
  </x:si>
  <x:si>
    <x:t xml:space="preserve">Simple Average</x:t>
  </x:si>
  <x:si>
    <x:t xml:space="preserve">Capacity-Weighted Average</x:t>
  </x:si>
  <x:si>
    <x:t xml:space="preserve">WeatherCondition</x:t>
  </x:si>
  <x:si>
    <x:t xml:space="preserve">WithinToleranceDays</x:t>
  </x:si>
  <x:si>
    <x:t xml:space="preserve">TotalDays</x:t>
  </x:si>
  <x:si>
    <x:t xml:space="preserve">Rate</x:t>
  </x:si>
  <x:si>
    <x:t xml:space="preserve">WithinToleranceTotal</x:t>
  </x:si>
  <x:si>
    <x:t xml:space="preserve">OverallRate</x:t>
  </x:si>
  <x:si>
    <x:t xml:space="preserve">Region A</x:t>
  </x:si>
  <x:si>
    <x:t xml:space="preserve">Normal Weather</x:t>
  </x:si>
  <x:si>
    <x:t xml:space="preserve">Region B</x:t>
  </x:si>
  <x:si>
    <x:t xml:space="preserve">Severe Weather</x:t>
  </x:si>
  <x:si>
    <x:t xml:space="preserve">Question</x:t>
  </x:si>
  <x:si>
    <x:t xml:space="preserve">Which region is higher within each weather condition, and which is higher overall?</x:t>
  </x:si>
  <x:si>
    <x:t xml:space="preserve">YourResult</x:t>
  </x:si>
  <x:si>
    <x:t xml:space="preserve">ExpectedResult</x:t>
  </x:si>
  <x:si>
    <x:t xml:space="preserve">Difference</x:t>
  </x:si>
  <x:si>
    <x:t xml:space="preserve">Validated?</x:t>
  </x:si>
  <x:si>
    <x:t xml:space="preserve">Region Count</x:t>
  </x:si>
  <x:si>
    <x:t xml:space="preserve">Plant/Asset Count</x:t>
  </x:si>
  <x:si>
    <x:t xml:space="preserve">Generating Asset Count</x:t>
  </x:si>
  <x:si>
    <x:t xml:space="preserve">Technology Family Count</x:t>
  </x:si>
  <x:si>
    <x:t xml:space="preserve">Generation Capacity</x:t>
  </x:si>
  <x:si>
    <x:t xml:space="preserve">Storage Power</x:t>
  </x:si>
  <x:si>
    <x:t xml:space="preserve">Storage Energy</x:t>
  </x:si>
  <x:si>
    <x:t xml:space="preserve">September Target</x:t>
  </x:si>
  <x:si>
    <x:t xml:space="preserve">Term</x:t>
  </x:si>
  <x:si>
    <x:t xml:space="preserve">YourDefinition</x:t>
  </x:si>
  <x:si>
    <x:t xml:space="preserve">BusinessMeaning</x:t>
  </x:si>
  <x:si>
    <x:t xml:space="preserve">RelatedTermToDistinguish</x:t>
  </x:si>
  <x:si>
    <x:t xml:space="preserve">Equipment</x:t>
  </x:si>
  <x:si>
    <x:t xml:space="preserve">Site</x:t>
  </x:si>
  <x:si>
    <x:t xml:space="preserve">Generation</x:t>
  </x:si>
  <x:si>
    <x:t xml:space="preserve">MWh</x:t>
  </x:si>
  <x:si>
    <x:t xml:space="preserve">Capacity</x:t>
  </x:si>
  <x:si>
    <x:t xml:space="preserve">MW</x:t>
  </x:si>
  <x:si>
    <x:t xml:space="preserve">Forecast Generation</x:t>
  </x:si>
  <x:si>
    <x:t xml:space="preserve">Target</x:t>
  </x:si>
  <x:si>
    <x:t xml:space="preserve">Forecast</x:t>
  </x:si>
  <x:si>
    <x:t xml:space="preserve">KPI</x:t>
  </x:si>
  <x:si>
    <x:t xml:space="preserve">File</x:t>
  </x:si>
  <x:si>
    <x:t xml:space="preserve">BusinessDefinition</x:t>
  </x:si>
  <x:si>
    <x:t xml:space="preserve">DataType</x:t>
  </x:si>
  <x:si>
    <x:t xml:space="preserve">Grain</x:t>
  </x:si>
  <x:si>
    <x:t xml:space="preserve">QualityRisk</x:t>
  </x:si>
  <x:si>
    <x:t xml:space="preserve">Plants_Raw.csv</x:t>
  </x:si>
  <x:si>
    <x:t xml:space="preserve">PlantID</x:t>
  </x:si>
  <x:si>
    <x:t xml:space="preserve">Text</x:t>
  </x:si>
  <x:si>
    <x:t xml:space="preserve">Plant/asset</x:t>
  </x:si>
  <x:si>
    <x:t xml:space="preserve">Number</x:t>
  </x:si>
  <x:si>
    <x:t xml:space="preserve">Generation_Daily_Raw.csv</x:t>
  </x:si>
  <x:si>
    <x:t xml:space="preserve">Plant-day</x:t>
  </x:si>
  <x:si>
    <x:t xml:space="preserve">Forecast_Daily_Raw.csv</x:t>
  </x:si>
  <x:si>
    <x:t xml:space="preserve">ForecastGenerationMWh</x:t>
  </x:si>
  <x:si>
    <x:t xml:space="preserve">Monthly_Targets_Wide.csv</x:t>
  </x:si>
  <x:si>
    <x:t xml:space="preserve">Sep_2026_TargetMWh</x:t>
  </x:si>
  <x:si>
    <x:t xml:space="preserve">Region-month</x:t>
  </x:si>
  <x:si>
    <x:t xml:space="preserve">Storage_Assets.csv</x:t>
  </x:si>
  <x:si>
    <x:t xml:space="preserve">StoragePowerMW</x:t>
  </x:si>
  <x:si>
    <x:t xml:space="preserve">Storage-enabled asset</x:t>
  </x:si>
  <x:si>
    <x:t xml:space="preserve">Maintenance_Events.csv</x:t>
  </x:si>
  <x:si>
    <x:t xml:space="preserve">DowntimeHours</x:t>
  </x:si>
  <x:si>
    <x:t xml:space="preserve">Maintenance event</x:t>
  </x:si>
  <x:si>
    <x:t xml:space="preserve">hours</x:t>
  </x:si>
  <x:si>
    <x:t xml:space="preserve">Example</x:t>
  </x:si>
  <x:si>
    <x:t xml:space="preserve">BehavioralFactType</x:t>
  </x:si>
  <x:si>
    <x:t xml:space="preserve">Why</x:t>
  </x:si>
  <x:si>
    <x:t xml:space="preserve">Plant interval or daily generation readings</x:t>
  </x:si>
  <x:si>
    <x:t xml:space="preserve">Records measurable activity for each time interval/period.</x:t>
  </x:si>
  <x:si>
    <x:t xml:space="preserve">Daily BESS state-of-charge snapshot</x:t>
  </x:si>
  <x:si>
    <x:t xml:space="preserve">Captures state at a point/period and should not normally be summed across time.</x:t>
  </x:si>
  <x:si>
    <x:t xml:space="preserve">Maintenance work order from raised to closed</x:t>
  </x:si>
  <x:si>
    <x:t xml:space="preserve">Tracks a process accumulating milestone dates/status through a lifecycle.</x:t>
  </x:si>
  <x:si>
    <x:t xml:space="preserve">Planned inspection schedule</x:t>
  </x:si>
  <x:si>
    <x:t xml:space="preserve">Records that an event/relationship exists even when there is no additive numeric measure.</x:t>
  </x:si>
  <x:si>
    <x:t xml:space="preserve">KPI/Metric</x:t>
  </x:si>
  <x:si>
    <x:t xml:space="preserve">LeadingOrLagging</x:t>
  </x:si>
  <x:si>
    <x:t xml:space="preserve">ToleranceBand</x:t>
  </x:si>
  <x:si>
    <x:t xml:space="preserve">StatusLogic</x:t>
  </x:si>
  <x:si>
    <x:t xml:space="preserve">ReportingCadence</x:t>
  </x:si>
  <x:si>
    <x:t xml:space="preserve">Source Freshness</x:t>
  </x:si>
  <x:si>
    <x:t xml:space="preserve">Open Data Quality Issues</x:t>
  </x:si>
  <x:si>
    <x:t xml:space="preserve">Scenario</x:t>
  </x:si>
  <x:si>
    <x:t xml:space="preserve">YourAnswer</x:t>
  </x:si>
  <x:si>
    <x:t xml:space="preserve">ExpectedConcept</x:t>
  </x:si>
  <x:si>
    <x:t xml:space="preserve">A reading timestamp marks the beginning of a 15-minute production interval. What convention must be documented?</x:t>
  </x:si>
  <x:si>
    <x:t xml:space="preserve">Interval-start versus interval-end</x:t>
  </x:si>
  <x:si>
    <x:t xml:space="preserve">A Pacific Northwest plant and Atlantic Coast plant report at local midnight. What risk exists if time zones are ignored?</x:t>
  </x:si>
  <x:si>
    <x:t xml:space="preserve">Misaligned business dates and aggregation windows</x:t>
  </x:si>
  <x:si>
    <x:t xml:space="preserve">A daylight-saving transition repeats or skips a local hour. What must be defined before aggregation?</x:t>
  </x:si>
  <x:si>
    <x:t xml:space="preserve">Time-zone/DST handling</x:t>
  </x:si>
  <x:si>
    <x:t xml:space="preserve">A late correction changes yesterday's generation total. What kind of data behavior is this?</x:t>
  </x:si>
  <x:si>
    <x:t xml:space="preserve">Late-arriving/restated data</x:t>
  </x:si>
  <x:si>
    <x:t xml:space="preserve">Convert 1,000 kW to MW.</x:t>
  </x:si>
  <x:si>
    <x:t xml:space="preserve">1 MW</x:t>
  </x:si>
  <x:si>
    <x:t xml:space="preserve">Convert 1,000 kWh to MWh.</x:t>
  </x:si>
  <x:si>
    <x:t xml:space="preserve">1 MWh</x:t>
  </x:si>
  <x:si>
    <x:t xml:space="preserve">Risk/Trap</x:t>
  </x:si>
  <x:si>
    <x:t xml:space="preserve">YourReasoning</x:t>
  </x:si>
  <x:si>
    <x:t xml:space="preserve">Only plants still operating today are included when evaluating historic reliability.</x:t>
  </x:si>
  <x:si>
    <x:t xml:space="preserve">A sample contains mostly sunny days and is used to claim annual solar performance.</x:t>
  </x:si>
  <x:si>
    <x:t xml:space="preserve">A three-day rise in production is called a long-term trend without checking seasonal patterns.</x:t>
  </x:si>
  <x:si>
    <x:t xml:space="preserve">Maintenance occurs on a low-generation day and is immediately declared the cause.</x:t>
  </x:si>
  <x:si>
    <x:t xml:space="preserve">Regional percentages are averaged without considering the business denominator or weighting.</x:t>
  </x:si>
  <x:si>
    <x:t xml:space="preserve">CandidateField</x:t>
  </x:si>
  <x:si>
    <x:t xml:space="preserve">NeededForPortfolioGenerationDashboard?</x:t>
  </x:si>
  <x:si>
    <x:t xml:space="preserve">Reason</x:t>
  </x:si>
  <x:si>
    <x:t xml:space="preserve">RiskIfIncludedWithoutNeed</x:t>
  </x:si>
  <x:si>
    <x:t xml:space="preserve">TechnicianName</x:t>
  </x:si>
  <x:si>
    <x:t xml:space="preserve">TechnicianPersonalMobile</x:t>
  </x:si>
  <x:si>
    <x:t xml:space="preserve">EmployeeID</x:t>
  </x:si>
  <x:si>
    <x:t xml:space="preserve">HomeAddress</x:t>
  </x:si>
  <x:si>
    <x:t xml:space="preserve">SafetyCertificationStatus</x:t>
  </x:si>
  <x:si>
    <x:t xml:space="preserve">Checkpoint</x:t>
  </x:si>
  <x:si>
    <x:t xml:space="preserve">What You Confirm</x:t>
  </x:si>
  <x:si>
    <x:t xml:space="preserve">Expected Result / Evidence</x:t>
  </x:si>
  <x:si>
    <x:t xml:space="preserve">Your Status</x:t>
  </x:si>
  <x:si>
    <x:t xml:space="preserve">Your Notes</x:t>
  </x:si>
  <x:si>
    <x:t xml:space="preserve">Checkpoint 1</x:t>
  </x:si>
  <x:si>
    <x:t xml:space="preserve">Enterprise and source orientation</x:t>
  </x:si>
  <x:si>
    <x:t xml:space="preserve">7 technology families; 12 assets; 11 generating assets; standalone BESS identified correctly</x:t>
  </x:si>
  <x:si>
    <x:t xml:space="preserve">Not Checked</x:t>
  </x:si>
  <x:si>
    <x:t xml:space="preserve">Checkpoint 2</x:t>
  </x:si>
  <x:si>
    <x:t xml:space="preserve">Requirements and source authority</x:t>
  </x:si>
  <x:si>
    <x:t xml:space="preserve">Six stakeholder needs translated into decisions/questions; Operations &amp; Engineering selected for technical nameplate capacity</x:t>
  </x:si>
  <x:si>
    <x:t xml:space="preserve">Checkpoint 3</x:t>
  </x:si>
  <x:si>
    <x:t xml:space="preserve">Grain and field meaning</x:t>
  </x:si>
  <x:si>
    <x:t xml:space="preserve">Plant master, plant-day actual, plant-day forecast, region-month target, region-day summary, storage asset, maintenance event and freshness grains stated correctly</x:t>
  </x:si>
  <x:si>
    <x:t xml:space="preserve">Checkpoint 4</x:t>
  </x:si>
  <x:si>
    <x:t xml:space="preserve">Metric/KPI definitions</x:t>
  </x:si>
  <x:si>
    <x:t xml:space="preserve">Generation Variance = Actual - Forecast; Variance % denominator = Forecast; Target Attainment denominator = Target</x:t>
  </x:si>
  <x:si>
    <x:t xml:space="preserve">Checkpoint 5</x:t>
  </x:si>
  <x:si>
    <x:t xml:space="preserve">Quality and reasoning</x:t>
  </x:si>
  <x:si>
    <x:t xml:space="preserve">All planted issues found; simple average 89.50%; weighted average 81.73%; Simpson overall A 30.66%, B 79.34%</x:t>
  </x:si>
  <x:si>
    <x:t xml:space="preserve">Checkpoint 6</x:t>
  </x:si>
  <x:si>
    <x:t xml:space="preserve">Final reconciliation</x:t>
  </x:si>
  <x:si>
    <x:t xml:space="preserve">Use Validation folder to reconcile the complete authoritative baseline</x:t>
  </x:si>
</x:sst>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color rgb="FF000000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  <x:font>
      <x:b/>
      <x:sz val="11"/>
      <x:color rgb="FF17365D"/>
      <x:name val="Carlito"/>
    </x:font>
    <x:font>
      <x:color theme="1"/>
      <x:name val="Carlito"/>
    </x:font>
  </x:fonts>
  <x:fills count="4">
    <x:fill>
      <x:patternFill patternType="none"/>
    </x:fill>
    <x:fill>
      <x:patternFill patternType="lightGray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 applyFont="1" applyAlignment="1"/>
  </x:cellStyleXfs>
  <x:cellXfs count="15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wrapText="1"/>
    </x:xf>
    <x:xf numFmtId="0" fontId="2" fillId="2" borderId="0" xfId="0" applyFont="1" applyFill="1" applyAlignment="1">
      <x:alignment horizontal="center" vertical="center" wrapText="1"/>
    </x:xf>
    <x:xf numFmtId="0" fontId="3" fillId="0" borderId="0" xfId="0" applyFont="1" applyAlignment="1">
      <x:alignment wrapText="1"/>
    </x:xf>
    <x:xf numFmtId="0" fontId="4" fillId="3" borderId="0" xfId="0" applyFont="1" applyFill="1" applyAlignment="1">
      <x:alignment wrapText="1"/>
    </x:xf>
    <x:xf numFmtId="0" fontId="5" fillId="0" borderId="0" xfId="0" applyFont="1"/>
    <x:xf numFmtId="10" fontId="3" fillId="0" borderId="0" xfId="0" applyNumberFormat="1" applyFo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10" fontId="3" fillId="0" borderId="0" xfId="0" applyNumberFormat="1" applyFont="1" applyFill="1" applyBorder="1"/>
    <x:xf numFmtId="20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98be80fcb441c" /><Relationship Type="http://schemas.openxmlformats.org/officeDocument/2006/relationships/theme" Target="/xl/theme/theme1.xml" Id="R5bd72baf596e41d3" /><Relationship Type="http://schemas.openxmlformats.org/officeDocument/2006/relationships/sharedStrings" Target="/xl/sharedStrings.xml" Id="R1e14c4649c814e0b" /><Relationship Type="http://schemas.openxmlformats.org/officeDocument/2006/relationships/worksheet" Target="/xl/worksheets/sheet1.xml" Id="R255000642a124ea1" /><Relationship Type="http://schemas.openxmlformats.org/officeDocument/2006/relationships/worksheet" Target="/xl/worksheets/sheet2.xml" Id="Rfa11405fcd904951" /><Relationship Type="http://schemas.openxmlformats.org/officeDocument/2006/relationships/worksheet" Target="/xl/worksheets/sheet3.xml" Id="R5d3fab4443dd41d7" /><Relationship Type="http://schemas.openxmlformats.org/officeDocument/2006/relationships/worksheet" Target="/xl/worksheets/sheet4.xml" Id="R03ef4467d5924dd7" /><Relationship Type="http://schemas.openxmlformats.org/officeDocument/2006/relationships/worksheet" Target="/xl/worksheets/sheet5.xml" Id="Rb2aed81942a2459c" /><Relationship Type="http://schemas.openxmlformats.org/officeDocument/2006/relationships/worksheet" Target="/xl/worksheets/sheet6.xml" Id="R172ac1a326fc4bb8" /><Relationship Type="http://schemas.openxmlformats.org/officeDocument/2006/relationships/worksheet" Target="/xl/worksheets/sheet7.xml" Id="R24a967a9bf47417b" /><Relationship Type="http://schemas.openxmlformats.org/officeDocument/2006/relationships/worksheet" Target="/xl/worksheets/sheet8.xml" Id="Rad69707894a540ec" /><Relationship Type="http://schemas.openxmlformats.org/officeDocument/2006/relationships/worksheet" Target="/xl/worksheets/sheet9.xml" Id="R4c51bd0ce1154460" /><Relationship Type="http://schemas.openxmlformats.org/officeDocument/2006/relationships/worksheet" Target="/xl/worksheets/sheet10.xml" Id="Rcb6684a0e3a14db3" /><Relationship Type="http://schemas.openxmlformats.org/officeDocument/2006/relationships/worksheet" Target="/xl/worksheets/sheet11.xml" Id="R58cc5d2b3afc4e8a" /><Relationship Type="http://schemas.openxmlformats.org/officeDocument/2006/relationships/worksheet" Target="/xl/worksheets/sheet12.xml" Id="R482abdff39a24aa4" /><Relationship Type="http://schemas.openxmlformats.org/officeDocument/2006/relationships/worksheet" Target="/xl/worksheets/sheet13.xml" Id="Ra7bc434d861d4335" /><Relationship Type="http://schemas.openxmlformats.org/officeDocument/2006/relationships/worksheet" Target="/xl/worksheets/sheet14.xml" Id="R724893fd8438448f" /><Relationship Type="http://schemas.openxmlformats.org/officeDocument/2006/relationships/worksheet" Target="/xl/worksheets/sheet15.xml" Id="R9283bede653f4386" /><Relationship Type="http://schemas.openxmlformats.org/officeDocument/2006/relationships/worksheet" Target="/xl/worksheets/sheet16.xml" Id="R0bec996d27a64750" /><Relationship Type="http://schemas.openxmlformats.org/officeDocument/2006/relationships/worksheet" Target="/xl/worksheets/sheet17.xml" Id="R2d85e4cc08904801" /><Relationship Type="http://schemas.openxmlformats.org/officeDocument/2006/relationships/worksheet" Target="/xl/worksheets/sheet18.xml" Id="R751c347da2544cc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4" customWidth="1"/>
    <x:col min="2" max="2" width="72" customWidth="1"/>
    <x:col min="3" max="26" width="8.630000114440918" customWidth="1"/>
  </x:cols>
  <x:sheetData>
    <x:row r="1">
      <x:c r="A1" s="1" t="s">
        <x:v>0</x:v>
      </x:c>
    </x:row>
    <x:row r="2">
      <x:c r="A2" s="3"/>
      <x:c r="B2" s="3"/>
      <x:c r="C2" s="3"/>
      <x:c r="D2" s="3"/>
      <x:c r="E2" s="3"/>
      <x:c r="F2" s="3"/>
    </x:row>
    <x:row r="3">
      <x:c r="A3" s="4" t="s">
        <x:v>1</x:v>
      </x:c>
      <x:c r="B3" s="3" t="s">
        <x:v>2</x:v>
      </x:c>
      <x:c r="C3" s="3"/>
      <x:c r="D3" s="3"/>
      <x:c r="E3" s="3"/>
      <x:c r="F3" s="3"/>
    </x:row>
    <x:row r="4">
      <x:c r="A4" s="4" t="s">
        <x:v>3</x:v>
      </x:c>
      <x:c r="B4" s="3" t="s">
        <x:v>4</x:v>
      </x:c>
      <x:c r="C4" s="3"/>
      <x:c r="D4" s="3"/>
      <x:c r="E4" s="3"/>
      <x:c r="F4" s="3"/>
    </x:row>
    <x:row r="5">
      <x:c r="A5" s="4" t="s">
        <x:v>5</x:v>
      </x:c>
      <x:c r="B5" s="3" t="s">
        <x:v>6</x:v>
      </x:c>
      <x:c r="C5" s="3"/>
      <x:c r="D5" s="3"/>
      <x:c r="E5" s="3"/>
      <x:c r="F5" s="3"/>
    </x:row>
    <x:row r="6">
      <x:c r="A6" s="4" t="s">
        <x:v>7</x:v>
      </x:c>
      <x:c r="B6" s="3" t="s">
        <x:v>8</x:v>
      </x:c>
      <x:c r="C6" s="3"/>
      <x:c r="D6" s="3"/>
      <x:c r="E6" s="3"/>
      <x:c r="F6" s="3"/>
    </x:row>
    <x:row r="7">
      <x:c r="A7" s="4" t="s">
        <x:v>9</x:v>
      </x:c>
      <x:c r="B7" s="3" t="s">
        <x:v>10</x:v>
      </x:c>
      <x:c r="C7" s="3"/>
      <x:c r="D7" s="3"/>
      <x:c r="E7" s="3"/>
      <x:c r="F7" s="3"/>
    </x:row>
    <x:row r="8">
      <x:c r="A8" s="4" t="s">
        <x:v>11</x:v>
      </x:c>
      <x:c r="B8" s="3" t="s">
        <x:v>12</x:v>
      </x:c>
      <x:c r="C8" s="3"/>
      <x:c r="D8" s="3"/>
      <x:c r="E8" s="3"/>
      <x:c r="F8" s="3"/>
    </x:row>
    <x:row r="9">
      <x:c r="A9" s="4" t="s">
        <x:v>13</x:v>
      </x:c>
      <x:c r="B9" s="3" t="s">
        <x:v>14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2.130000114440918" customWidth="1"/>
    <x:col min="2" max="2" width="9.630000114440918" customWidth="1"/>
    <x:col min="3" max="3" width="11.630000114440918" customWidth="1"/>
    <x:col min="4" max="4" width="15.380000114440918" customWidth="1"/>
    <x:col min="5" max="5" width="15" customWidth="1"/>
    <x:col min="6" max="6" width="6.25" customWidth="1"/>
    <x:col min="7" max="7" width="16" customWidth="1"/>
    <x:col min="8" max="8" width="13" customWidth="1"/>
    <x:col min="9" max="9" width="9.130000114440918" customWidth="1"/>
    <x:col min="10" max="26" width="8.630000114440918" customWidth="1"/>
  </x:cols>
  <x:sheetData>
    <x:row r="1">
      <x:c r="A1" s="2" t="s">
        <x:v>15</x:v>
      </x:c>
      <x:c r="B1" s="2" t="s">
        <x:v>16</x:v>
      </x:c>
      <x:c r="C1" s="2" t="s">
        <x:v>17</x:v>
      </x:c>
      <x:c r="D1" s="2" t="s">
        <x:v>18</x:v>
      </x:c>
      <x:c r="E1" s="2" t="s">
        <x:v>19</x:v>
      </x:c>
      <x:c r="F1" s="2" t="s">
        <x:v>20</x:v>
      </x:c>
      <x:c r="G1" s="2" t="s">
        <x:v>21</x:v>
      </x:c>
      <x:c r="H1" s="2" t="s">
        <x:v>22</x:v>
      </x:c>
      <x:c r="I1" s="2" t="s">
        <x:v>23</x:v>
      </x:c>
    </x:row>
    <x:row r="2">
      <x:c r="A2" s="3" t="s">
        <x:v>24</x:v>
      </x:c>
      <x:c r="B2" s="3"/>
      <x:c r="C2" s="3"/>
      <x:c r="D2" s="3"/>
      <x:c r="E2" s="3"/>
      <x:c r="F2" s="3"/>
      <x:c r="G2" s="3"/>
      <x:c r="H2" s="3"/>
      <x:c r="I2" s="3" t="s">
        <x:v>25</x:v>
      </x:c>
    </x:row>
    <x:row r="3">
      <x:c r="A3" s="3" t="s">
        <x:v>26</x:v>
      </x:c>
      <x:c r="B3" s="3"/>
      <x:c r="C3" s="3"/>
      <x:c r="D3" s="3"/>
      <x:c r="E3" s="3"/>
      <x:c r="F3" s="3"/>
      <x:c r="G3" s="3"/>
      <x:c r="H3" s="3"/>
      <x:c r="I3" s="3" t="s">
        <x:v>25</x:v>
      </x:c>
    </x:row>
    <x:row r="4">
      <x:c r="A4" s="3" t="s">
        <x:v>27</x:v>
      </x:c>
      <x:c r="B4" s="3"/>
      <x:c r="C4" s="3"/>
      <x:c r="D4" s="3"/>
      <x:c r="E4" s="3"/>
      <x:c r="F4" s="3"/>
      <x:c r="G4" s="3"/>
      <x:c r="H4" s="3"/>
      <x:c r="I4" s="3" t="s">
        <x:v>25</x:v>
      </x:c>
    </x:row>
    <x:row r="5">
      <x:c r="A5" s="3" t="s">
        <x:v>28</x:v>
      </x:c>
      <x:c r="B5" s="3"/>
      <x:c r="C5" s="3"/>
      <x:c r="D5" s="3"/>
      <x:c r="E5" s="3"/>
      <x:c r="F5" s="3"/>
      <x:c r="G5" s="3"/>
      <x:c r="H5" s="3"/>
      <x:c r="I5" s="3" t="s">
        <x:v>25</x:v>
      </x:c>
    </x:row>
    <x:row r="6">
      <x:c r="A6" s="3" t="s">
        <x:v>29</x:v>
      </x:c>
      <x:c r="B6" s="3"/>
      <x:c r="C6" s="3"/>
      <x:c r="D6" s="3"/>
      <x:c r="E6" s="3"/>
      <x:c r="F6" s="3"/>
      <x:c r="G6" s="3"/>
      <x:c r="H6" s="3"/>
      <x:c r="I6" s="3" t="s">
        <x:v>25</x:v>
      </x:c>
    </x:row>
    <x:row r="7">
      <x:c r="A7" s="3" t="s">
        <x:v>30</x:v>
      </x:c>
      <x:c r="B7" s="3"/>
      <x:c r="C7" s="3"/>
      <x:c r="D7" s="3"/>
      <x:c r="E7" s="3"/>
      <x:c r="F7" s="3"/>
      <x:c r="G7" s="3"/>
      <x:c r="H7" s="3"/>
      <x:c r="I7" s="3" t="s">
        <x:v>25</x:v>
      </x:c>
    </x:row>
    <x:row r="8">
      <x:c r="A8" s="3" t="s">
        <x:v>31</x:v>
      </x:c>
      <x:c r="B8" s="3"/>
      <x:c r="C8" s="3"/>
      <x:c r="D8" s="3"/>
      <x:c r="E8" s="3"/>
      <x:c r="F8" s="3"/>
      <x:c r="G8" s="3"/>
      <x:c r="H8" s="3"/>
      <x:c r="I8" s="3" t="s">
        <x:v>25</x:v>
      </x:c>
    </x:row>
    <x:row r="9">
      <x:c r="A9" s="3" t="s">
        <x:v>32</x:v>
      </x:c>
      <x:c r="B9" s="3"/>
      <x:c r="C9" s="3"/>
      <x:c r="D9" s="3"/>
      <x:c r="E9" s="3"/>
      <x:c r="F9" s="3"/>
      <x:c r="G9" s="3"/>
      <x:c r="H9" s="3"/>
      <x:c r="I9" s="3" t="s">
        <x:v>25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I2:I9">
      <x:formula1>"Not Started,Draft,Validated"</x:formula1>
    </x:dataValidation>
    <x:dataValidation type="list" allowBlank="1" sqref="F2:F9">
      <x:formula1>"Must,Should,Could,Won't"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24.3799991607666" customWidth="1"/>
    <x:col min="2" max="2" width="14" customWidth="1"/>
    <x:col min="3" max="3" width="8.130000114440918" customWidth="1"/>
    <x:col min="4" max="4" width="5.380000114440918" customWidth="1"/>
    <x:col min="5" max="5" width="3.880000114440918" customWidth="1"/>
    <x:col min="6" max="6" width="8.880000114440918" customWidth="1"/>
    <x:col min="7" max="7" width="10.630000114440918" customWidth="1"/>
    <x:col min="8" max="8" width="11.25" customWidth="1"/>
    <x:col min="9" max="9" width="14" customWidth="1"/>
    <x:col min="10" max="10" width="5.75" customWidth="1"/>
    <x:col min="11" max="11" width="13" customWidth="1"/>
    <x:col min="12" max="26" width="8.630000114440918" customWidth="1"/>
  </x:cols>
  <x:sheetData>
    <x:row r="1">
      <x:c r="A1" s="2" t="s">
        <x:v>33</x:v>
      </x:c>
      <x:c r="B1" s="2" t="s">
        <x:v>34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2" t="s">
        <x:v>39</x:v>
      </x:c>
      <x:c r="H1" s="2" t="s">
        <x:v>40</x:v>
      </x:c>
      <x:c r="I1" s="2" t="s">
        <x:v>41</x:v>
      </x:c>
      <x:c r="J1" s="2" t="s">
        <x:v>42</x:v>
      </x:c>
      <x:c r="K1" s="2" t="s">
        <x:v>22</x:v>
      </x:c>
    </x:row>
    <x:row r="2">
      <x:c r="A2" s="3" t="s">
        <x:v>43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3" t="s">
        <x:v>44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A4" s="3" t="s">
        <x:v>7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>
      <x:c r="A5" s="3" t="s">
        <x:v>45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>
      <x:c r="A6" s="3" t="s">
        <x:v>11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0" customWidth="1"/>
    <x:col min="2" max="2" width="8.380000114440918" customWidth="1"/>
    <x:col min="3" max="3" width="13.130000114440918" customWidth="1"/>
    <x:col min="4" max="4" width="16.8799991607666" customWidth="1"/>
    <x:col min="5" max="5" width="9.630000114440918" customWidth="1"/>
    <x:col min="6" max="6" width="14.130000114440918" customWidth="1"/>
    <x:col min="7" max="7" width="8" customWidth="1"/>
    <x:col min="8" max="8" width="16.8799991607666" customWidth="1"/>
    <x:col min="9" max="9" width="7.5" customWidth="1"/>
    <x:col min="10" max="26" width="8.630000114440918" customWidth="1"/>
  </x:cols>
  <x:sheetData>
    <x:row r="1">
      <x:c r="A1" s="2" t="s">
        <x:v>46</x:v>
      </x:c>
      <x:c r="B1" s="2" t="s">
        <x:v>47</x:v>
      </x:c>
      <x:c r="C1" s="2" t="s">
        <x:v>48</x:v>
      </x:c>
      <x:c r="D1" s="2" t="s">
        <x:v>49</x:v>
      </x:c>
      <x:c r="E1" s="2" t="s">
        <x:v>50</x:v>
      </x:c>
      <x:c r="F1" s="2" t="s">
        <x:v>51</x:v>
      </x:c>
      <x:c r="G1" s="2" t="s">
        <x:v>52</x:v>
      </x:c>
      <x:c r="H1" s="2" t="s">
        <x:v>53</x:v>
      </x:c>
      <x:c r="I1" s="2" t="s">
        <x:v>23</x:v>
      </x:c>
    </x:row>
    <x:row r="2">
      <x:c r="A2" s="3" t="s">
        <x:v>54</x:v>
      </x:c>
      <x:c r="B2" s="3"/>
      <x:c r="C2" s="3"/>
      <x:c r="D2" s="3"/>
      <x:c r="E2" s="3"/>
      <x:c r="F2" s="3"/>
      <x:c r="G2" s="3"/>
      <x:c r="H2" s="3"/>
      <x:c r="I2" s="3" t="s">
        <x:v>55</x:v>
      </x:c>
    </x:row>
    <x:row r="3">
      <x:c r="A3" s="3" t="s">
        <x:v>56</x:v>
      </x:c>
      <x:c r="B3" s="3"/>
      <x:c r="C3" s="3"/>
      <x:c r="D3" s="3"/>
      <x:c r="E3" s="3"/>
      <x:c r="F3" s="3"/>
      <x:c r="G3" s="3"/>
      <x:c r="H3" s="3"/>
      <x:c r="I3" s="3" t="s">
        <x:v>55</x:v>
      </x:c>
    </x:row>
    <x:row r="4">
      <x:c r="A4" s="3" t="s">
        <x:v>57</x:v>
      </x:c>
      <x:c r="B4" s="3"/>
      <x:c r="C4" s="3"/>
      <x:c r="D4" s="3"/>
      <x:c r="E4" s="3"/>
      <x:c r="F4" s="3"/>
      <x:c r="G4" s="3"/>
      <x:c r="H4" s="3"/>
      <x:c r="I4" s="3" t="s">
        <x:v>55</x:v>
      </x:c>
    </x:row>
    <x:row r="5">
      <x:c r="A5" s="3" t="s">
        <x:v>58</x:v>
      </x:c>
      <x:c r="B5" s="3"/>
      <x:c r="C5" s="3"/>
      <x:c r="D5" s="3"/>
      <x:c r="E5" s="3"/>
      <x:c r="F5" s="3"/>
      <x:c r="G5" s="3"/>
      <x:c r="H5" s="3"/>
      <x:c r="I5" s="3" t="s">
        <x:v>55</x:v>
      </x:c>
    </x:row>
    <x:row r="6">
      <x:c r="A6" s="3" t="s">
        <x:v>59</x:v>
      </x:c>
      <x:c r="B6" s="3"/>
      <x:c r="C6" s="3"/>
      <x:c r="D6" s="3"/>
      <x:c r="E6" s="3"/>
      <x:c r="F6" s="3"/>
      <x:c r="G6" s="3"/>
      <x:c r="H6" s="3"/>
      <x:c r="I6" s="3" t="s">
        <x:v>55</x:v>
      </x:c>
    </x:row>
    <x:row r="7">
      <x:c r="A7" s="3" t="s">
        <x:v>60</x:v>
      </x:c>
      <x:c r="B7" s="3"/>
      <x:c r="C7" s="3"/>
      <x:c r="D7" s="3"/>
      <x:c r="E7" s="3"/>
      <x:c r="F7" s="3"/>
      <x:c r="G7" s="3"/>
      <x:c r="H7" s="3"/>
      <x:c r="I7" s="3" t="s">
        <x:v>55</x:v>
      </x:c>
    </x:row>
    <x:row r="8">
      <x:c r="A8" s="3" t="s">
        <x:v>61</x:v>
      </x:c>
      <x:c r="B8" s="3"/>
      <x:c r="C8" s="3"/>
      <x:c r="D8" s="3"/>
      <x:c r="E8" s="3"/>
      <x:c r="F8" s="3"/>
      <x:c r="G8" s="3"/>
      <x:c r="H8" s="3"/>
      <x:c r="I8" s="3" t="s">
        <x:v>55</x:v>
      </x:c>
    </x:row>
    <x:row r="9">
      <x:c r="A9" s="3" t="s">
        <x:v>62</x:v>
      </x:c>
      <x:c r="B9" s="3"/>
      <x:c r="C9" s="3"/>
      <x:c r="D9" s="3"/>
      <x:c r="E9" s="3"/>
      <x:c r="F9" s="3"/>
      <x:c r="G9" s="3"/>
      <x:c r="H9" s="3"/>
      <x:c r="I9" s="3" t="s">
        <x:v>55</x:v>
      </x:c>
    </x:row>
    <x:row r="10">
      <x:c r="A10" s="3" t="s">
        <x:v>63</x:v>
      </x:c>
      <x:c r="B10" s="3"/>
      <x:c r="C10" s="3"/>
      <x:c r="D10" s="3"/>
      <x:c r="E10" s="3"/>
      <x:c r="F10" s="3"/>
      <x:c r="G10" s="3"/>
      <x:c r="H10" s="3"/>
      <x:c r="I10" s="3" t="s">
        <x:v>55</x:v>
      </x:c>
    </x:row>
    <x:row r="11">
      <x:c r="A11" s="3" t="s">
        <x:v>64</x:v>
      </x:c>
      <x:c r="B11" s="3"/>
      <x:c r="C11" s="3"/>
      <x:c r="D11" s="3"/>
      <x:c r="E11" s="3"/>
      <x:c r="F11" s="3"/>
      <x:c r="G11" s="3"/>
      <x:c r="H11" s="3"/>
      <x:c r="I11" s="3" t="s">
        <x:v>55</x:v>
      </x:c>
    </x:row>
    <x:row r="12">
      <x:c r="A12" s="3" t="s">
        <x:v>65</x:v>
      </x:c>
      <x:c r="B12" s="3"/>
      <x:c r="C12" s="3"/>
      <x:c r="D12" s="3"/>
      <x:c r="E12" s="3"/>
      <x:c r="F12" s="3"/>
      <x:c r="G12" s="3"/>
      <x:c r="H12" s="3"/>
      <x:c r="I12" s="3" t="s">
        <x:v>55</x:v>
      </x:c>
    </x:row>
    <x:row r="13">
      <x:c r="A13" s="3" t="s">
        <x:v>66</x:v>
      </x:c>
      <x:c r="B13" s="3"/>
      <x:c r="C13" s="3"/>
      <x:c r="D13" s="3"/>
      <x:c r="E13" s="3"/>
      <x:c r="F13" s="3"/>
      <x:c r="G13" s="3"/>
      <x:c r="H13" s="3"/>
      <x:c r="I13" s="3" t="s">
        <x:v>55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allowBlank="1" sqref="D2:D13">
      <x:formula1>"Completeness,Validity,Accuracy,Consistency,Uniqueness,Timeliness"</x:formula1>
    </x:dataValidation>
    <x:dataValidation type="list" allowBlank="1" sqref="G2:G13">
      <x:formula1>"Low,Medium,High"</x:formula1>
    </x:dataValidation>
    <x:dataValidation type="list" allowBlank="1" sqref="I2:I13">
      <x:formula1>"Open,Validated,Not an Issue"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8.5" customWidth="1"/>
    <x:col min="2" max="2" width="11.25" customWidth="1"/>
    <x:col min="3" max="3" width="13.5" customWidth="1"/>
    <x:col min="4" max="4" width="17" customWidth="1"/>
    <x:col min="5" max="5" width="8" customWidth="1"/>
    <x:col min="6" max="6" width="3.880000114440918" customWidth="1"/>
    <x:col min="7" max="7" width="11.130000114440918" customWidth="1"/>
    <x:col min="8" max="26" width="8.630000114440918" customWidth="1"/>
  </x:cols>
  <x:sheetData>
    <x:row r="1">
      <x:c r="A1" s="2" t="s">
        <x:v>67</x:v>
      </x:c>
      <x:c r="B1" s="2" t="s">
        <x:v>68</x:v>
      </x:c>
      <x:c r="C1" s="2" t="s">
        <x:v>69</x:v>
      </x:c>
      <x:c r="D1" s="2" t="s">
        <x:v>70</x:v>
      </x:c>
      <x:c r="E1" s="2" t="s">
        <x:v>71</x:v>
      </x:c>
      <x:c r="F1" s="2" t="s">
        <x:v>37</x:v>
      </x:c>
      <x:c r="G1" s="2" t="s">
        <x:v>72</x:v>
      </x:c>
    </x:row>
    <x:row r="2">
      <x:c r="A2" s="3" t="s">
        <x:v>73</x:v>
      </x:c>
      <x:c r="B2" s="3" t="s">
        <x:v>74</x:v>
      </x:c>
      <x:c r="C2" s="3" t="s">
        <x:v>75</x:v>
      </x:c>
      <x:c r="D2" s="3"/>
      <x:c r="E2" s="3"/>
      <x:c r="F2" s="3"/>
      <x:c r="G2" s="3"/>
    </x:row>
    <x:row r="3">
      <x:c r="A3" s="3" t="s">
        <x:v>76</x:v>
      </x:c>
      <x:c r="B3" s="3" t="s">
        <x:v>77</x:v>
      </x:c>
      <x:c r="C3" s="3" t="s">
        <x:v>78</x:v>
      </x:c>
      <x:c r="D3" s="3"/>
      <x:c r="E3" s="3"/>
      <x:c r="F3" s="3"/>
      <x:c r="G3" s="3"/>
    </x:row>
    <x:row r="4">
      <x:c r="A4" s="3" t="s">
        <x:v>79</x:v>
      </x:c>
      <x:c r="B4" s="3" t="s">
        <x:v>80</x:v>
      </x:c>
      <x:c r="C4" s="3" t="s">
        <x:v>81</x:v>
      </x:c>
      <x:c r="D4" s="3"/>
      <x:c r="E4" s="3"/>
      <x:c r="F4" s="3"/>
      <x:c r="G4" s="3"/>
    </x:row>
    <x:row r="5">
      <x:c r="A5" s="3" t="s">
        <x:v>82</x:v>
      </x:c>
      <x:c r="B5" s="3" t="s">
        <x:v>83</x:v>
      </x:c>
      <x:c r="C5" s="3" t="s">
        <x:v>84</x:v>
      </x:c>
      <x:c r="D5" s="3"/>
      <x:c r="E5" s="3"/>
      <x:c r="F5" s="3"/>
      <x:c r="G5" s="3"/>
    </x:row>
    <x:row r="6">
      <x:c r="A6" s="3" t="s">
        <x:v>23</x:v>
      </x:c>
      <x:c r="B6" s="3" t="s">
        <x:v>85</x:v>
      </x:c>
      <x:c r="C6" s="3" t="s">
        <x:v>81</x:v>
      </x:c>
      <x:c r="D6" s="3"/>
      <x:c r="E6" s="3"/>
      <x:c r="F6" s="3"/>
      <x:c r="G6" s="3"/>
    </x:row>
    <x:row r="7">
      <x:c r="A7" s="3" t="s">
        <x:v>86</x:v>
      </x:c>
      <x:c r="B7" s="3" t="s">
        <x:v>87</x:v>
      </x:c>
      <x:c r="C7" s="3" t="s">
        <x:v>84</x:v>
      </x:c>
      <x:c r="D7" s="3"/>
      <x:c r="E7" s="3"/>
      <x:c r="F7" s="3"/>
      <x:c r="G7" s="3"/>
    </x:row>
    <x:row r="8">
      <x:c r="A8" s="3" t="s">
        <x:v>88</x:v>
      </x:c>
      <x:c r="B8" s="3" t="s">
        <x:v>89</x:v>
      </x:c>
      <x:c r="C8" s="3" t="s">
        <x:v>90</x:v>
      </x:c>
      <x:c r="D8" s="3"/>
      <x:c r="E8" s="3"/>
      <x:c r="F8" s="3"/>
      <x:c r="G8" s="3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D2:D8">
      <x:formula1>"Nominal,Ordinal,Interval,Ratio"</x:formula1>
    </x:dataValidation>
    <x:dataValidation type="list" allowBlank="1" sqref="E2:E8">
      <x:formula1>"Additive,Semi-additive,Non-additive,Not Applicable"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7.5" customWidth="1"/>
    <x:col min="2" max="2" width="14" customWidth="1"/>
    <x:col min="3" max="3" width="15" customWidth="1"/>
    <x:col min="4" max="4" width="13.880000114440918" customWidth="1"/>
    <x:col min="5" max="5" width="11.630000114440918" customWidth="1"/>
    <x:col min="6" max="26" width="8.630000114440918" customWidth="1"/>
  </x:cols>
  <x:sheetData>
    <x:row r="1">
      <x:c r="A1" s="2" t="s">
        <x:v>91</x:v>
      </x:c>
      <x:c r="B1" s="2" t="s">
        <x:v>34</x:v>
      </x:c>
      <x:c r="C1" s="2" t="s">
        <x:v>92</x:v>
      </x:c>
      <x:c r="D1" s="2" t="s">
        <x:v>93</x:v>
      </x:c>
      <x:c r="E1" s="2" t="s">
        <x:v>94</x:v>
      </x:c>
    </x:row>
    <x:row r="2">
      <x:c r="A2" s="3" t="s">
        <x:v>95</x:v>
      </x:c>
      <x:c r="B2" s="3"/>
      <x:c r="C2" s="3"/>
      <x:c r="D2" s="3"/>
      <x:c r="E2" s="3"/>
    </x:row>
    <x:row r="3">
      <x:c r="A3" s="3" t="s">
        <x:v>96</x:v>
      </x:c>
      <x:c r="B3" s="3"/>
      <x:c r="C3" s="3"/>
      <x:c r="D3" s="3"/>
      <x:c r="E3" s="3"/>
    </x:row>
    <x:row r="4">
      <x:c r="A4" s="3" t="s">
        <x:v>97</x:v>
      </x:c>
      <x:c r="B4" s="3"/>
      <x:c r="C4" s="3"/>
      <x:c r="D4" s="3"/>
      <x:c r="E4" s="3"/>
    </x:row>
    <x:row r="5">
      <x:c r="A5" s="3" t="s">
        <x:v>98</x:v>
      </x:c>
      <x:c r="B5" s="3"/>
      <x:c r="C5" s="3"/>
      <x:c r="D5" s="3"/>
      <x:c r="E5" s="3"/>
    </x:row>
    <x:row r="6">
      <x:c r="A6" s="3" t="s">
        <x:v>99</x:v>
      </x:c>
      <x:c r="B6" s="3"/>
      <x:c r="C6" s="3"/>
      <x:c r="D6" s="3"/>
      <x:c r="E6" s="3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25.75" customWidth="1"/>
    <x:col min="2" max="2" width="15.5" customWidth="1"/>
    <x:col min="3" max="3" width="13.880000114440918" customWidth="1"/>
    <x:col min="4" max="4" width="14.25" customWidth="1"/>
    <x:col min="5" max="26" width="8.630000114440918" customWidth="1"/>
  </x:cols>
  <x:sheetData>
    <x:row r="1">
      <x:c r="A1" s="2" t="s">
        <x:v>100</x:v>
      </x:c>
      <x:c r="B1" s="2" t="s">
        <x:v>101</x:v>
      </x:c>
      <x:c r="C1" s="2" t="s">
        <x:v>102</x:v>
      </x:c>
      <x:c r="D1" s="2" t="s">
        <x:v>103</x:v>
      </x:c>
    </x:row>
    <x:row r="2">
      <x:c r="A2" s="3" t="s">
        <x:v>104</x:v>
      </x:c>
      <x:c r="B2" s="3"/>
      <x:c r="C2" s="3"/>
      <x:c r="D2" s="3"/>
    </x:row>
    <x:row r="3">
      <x:c r="A3" s="3" t="s">
        <x:v>104</x:v>
      </x:c>
      <x:c r="B3" s="3"/>
      <x:c r="C3" s="3"/>
      <x:c r="D3" s="3"/>
    </x:row>
    <x:row r="4">
      <x:c r="A4" s="3" t="s">
        <x:v>104</x:v>
      </x:c>
      <x:c r="B4" s="3"/>
      <x:c r="C4" s="3"/>
      <x:c r="D4" s="3"/>
    </x:row>
    <x:row r="5">
      <x:c r="A5" s="3" t="s">
        <x:v>104</x:v>
      </x:c>
      <x:c r="B5" s="3"/>
      <x:c r="C5" s="3"/>
      <x:c r="D5" s="3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4" width="26" customWidth="1"/>
    <x:col min="5" max="26" width="8.630000114440918" customWidth="1"/>
  </x:cols>
  <x:sheetData>
    <x:row r="1">
      <x:c r="A1" s="2" t="s">
        <x:v>81</x:v>
      </x:c>
      <x:c r="B1" s="2" t="s">
        <x:v>105</x:v>
      </x:c>
      <x:c r="C1" s="2" t="s">
        <x:v>106</x:v>
      </x:c>
      <x:c r="D1" s="2" t="s">
        <x:v>107</x:v>
      </x:c>
    </x:row>
    <x:row r="2">
      <x:c r="A2" s="5" t="s">
        <x:v>108</x:v>
      </x:c>
      <x:c r="B2" s="5">
        <x:v>500.0</x:v>
      </x:c>
      <x:c r="C2" s="6">
        <x:v>0.8</x:v>
      </x:c>
      <x:c r="D2" s="5" t="n">
        <x:f t="shared" ref="D2:D3" si="1">B2*C2</x:f>
        <x:v>400</x:v>
      </x:c>
    </x:row>
    <x:row r="3">
      <x:c r="A3" s="5" t="s">
        <x:v>109</x:v>
      </x:c>
      <x:c r="B3" s="5">
        <x:v>50.0</x:v>
      </x:c>
      <x:c r="C3" s="6">
        <x:v>0.99</x:v>
      </x:c>
      <x:c r="D3" s="5">
        <x:f t="shared" si="1"/>
        <x:v>49.5</x:v>
      </x:c>
    </x:row>
    <x:row r="6">
      <x:c r="A6" s="2" t="s">
        <x:v>110</x:v>
      </x:c>
      <x:c r="B6" s="2" t="s">
        <x:v>111</x:v>
      </x:c>
    </x:row>
    <x:row r="7">
      <x:c r="A7" s="5" t="s">
        <x:v>112</x:v>
      </x:c>
      <x:c r="B7" s="6" t="n">
        <x:f>AVERAGE(C2:C3)</x:f>
        <x:v>0.895</x:v>
      </x:c>
    </x:row>
    <x:row r="8">
      <x:c r="A8" s="5" t="s">
        <x:v>113</x:v>
      </x:c>
      <x:c r="B8" s="6" t="n">
        <x:f>SUM(D2:D3)/SUM(B2:B3)</x:f>
        <x:v>0.8172727272727273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0" width="22" customWidth="1"/>
    <x:col min="11" max="26" width="8.630000114440918" customWidth="1"/>
  </x:cols>
  <x:sheetData>
    <x:row r="1">
      <x:c r="A1" s="2" t="s">
        <x:v>75</x:v>
      </x:c>
      <x:c r="B1" s="2" t="s">
        <x:v>114</x:v>
      </x:c>
      <x:c r="C1" s="2" t="s">
        <x:v>115</x:v>
      </x:c>
      <x:c r="D1" s="2" t="s">
        <x:v>116</x:v>
      </x:c>
      <x:c r="E1" s="2" t="s">
        <x:v>117</x:v>
      </x:c>
      <x:c r="G1" s="2" t="s">
        <x:v>75</x:v>
      </x:c>
      <x:c r="H1" s="2" t="s">
        <x:v>118</x:v>
      </x:c>
      <x:c r="I1" s="2" t="s">
        <x:v>116</x:v>
      </x:c>
      <x:c r="J1" s="2" t="s">
        <x:v>119</x:v>
      </x:c>
    </x:row>
    <x:row r="2">
      <x:c r="A2" s="5" t="s">
        <x:v>120</x:v>
      </x:c>
      <x:c r="B2" s="5" t="s">
        <x:v>121</x:v>
      </x:c>
      <x:c r="C2" s="5" t="n">
        <x:v>9</x:v>
      </x:c>
      <x:c r="D2" s="5" t="n">
        <x:v>10</x:v>
      </x:c>
      <x:c r="E2" s="14" t="n">
        <x:v>0.9</x:v>
      </x:c>
      <x:c r="G2" s="5" t="s">
        <x:v>120</x:v>
      </x:c>
      <x:c r="H2" s="5" t="n">
        <x:f t="shared" ref="H2:H3" si="1">SUMIF(A2:A5,G2,C2:C5)</x:f>
        <x:v>279</x:v>
      </x:c>
      <x:c r="I2" s="5" t="n">
        <x:f t="shared" ref="I2:I3" si="2">SUMIF(A2:A5,G2,D2:D5)</x:f>
        <x:v>910</x:v>
      </x:c>
      <x:c r="J2" s="14" t="n">
        <x:f t="shared" ref="J2:J3" si="3">H2/I2</x:f>
        <x:v>0.3065934065934066</x:v>
      </x:c>
    </x:row>
    <x:row r="3">
      <x:c r="A3" s="5" t="s">
        <x:v>122</x:v>
      </x:c>
      <x:c r="B3" s="5" t="s">
        <x:v>121</x:v>
      </x:c>
      <x:c r="C3" s="5" t="n">
        <x:v>720</x:v>
      </x:c>
      <x:c r="D3" s="5" t="n">
        <x:v>900</x:v>
      </x:c>
      <x:c r="E3" s="14" t="n">
        <x:v>0.8</x:v>
      </x:c>
      <x:c r="G3" s="5" t="s">
        <x:v>122</x:v>
      </x:c>
      <x:c r="H3" s="5" t="n">
        <x:f t="shared" si="1">SUMIF(A3:A6,G3,C3:C6)</x:f>
        <x:v>722</x:v>
      </x:c>
      <x:c r="I3" s="5" t="n">
        <x:f t="shared" si="2">SUMIF(A3:A6,G3,D3:D6)</x:f>
        <x:v>910</x:v>
      </x:c>
      <x:c r="J3" s="14" t="n">
        <x:f t="shared" si="3">H3/I3</x:f>
        <x:v>0.7934065934065934</x:v>
      </x:c>
    </x:row>
    <x:row r="4">
      <x:c r="A4" s="5" t="s">
        <x:v>120</x:v>
      </x:c>
      <x:c r="B4" s="5" t="s">
        <x:v>123</x:v>
      </x:c>
      <x:c r="C4" s="5" t="n">
        <x:v>270</x:v>
      </x:c>
      <x:c r="D4" s="5" t="n">
        <x:v>900</x:v>
      </x:c>
      <x:c r="E4" s="14" t="n">
        <x:v>0.3</x:v>
      </x:c>
      <x:c r="G4" s="5" t="s">
        <x:v>124</x:v>
      </x:c>
      <x:c r="H4" s="5" t="s">
        <x:v>125</x:v>
      </x:c>
    </x:row>
    <x:row r="5">
      <x:c r="A5" s="5" t="s">
        <x:v>122</x:v>
      </x:c>
      <x:c r="B5" s="5" t="s">
        <x:v>123</x:v>
      </x:c>
      <x:c r="C5" s="5" t="n">
        <x:v>2</x:v>
      </x:c>
      <x:c r="D5" s="5" t="n">
        <x:v>10</x:v>
      </x:c>
      <x:c r="E5" s="14" t="n">
        <x:v>0.2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5" width="28" customWidth="1"/>
    <x:col min="6" max="26" width="8.630000114440918" customWidth="1"/>
  </x:cols>
  <x:sheetData>
    <x:row r="1">
      <x:c r="A1" s="2" t="s">
        <x:v>110</x:v>
      </x:c>
      <x:c r="B1" s="2" t="s">
        <x:v>126</x:v>
      </x:c>
      <x:c r="C1" s="2" t="s">
        <x:v>127</x:v>
      </x:c>
      <x:c r="D1" s="2" t="s">
        <x:v>128</x:v>
      </x:c>
      <x:c r="E1" s="2" t="s">
        <x:v>129</x:v>
      </x:c>
    </x:row>
    <x:row r="2">
      <x:c r="A2" s="5" t="s">
        <x:v>130</x:v>
      </x:c>
      <x:c r="E2" s="5"/>
    </x:row>
    <x:row r="3">
      <x:c r="A3" s="5" t="s">
        <x:v>131</x:v>
      </x:c>
      <x:c r="E3" s="5"/>
    </x:row>
    <x:row r="4">
      <x:c r="A4" s="5" t="s">
        <x:v>132</x:v>
      </x:c>
      <x:c r="E4" s="5"/>
    </x:row>
    <x:row r="5">
      <x:c r="A5" s="5" t="s">
        <x:v>133</x:v>
      </x:c>
      <x:c r="E5" s="5"/>
    </x:row>
    <x:row r="6">
      <x:c r="A6" s="5" t="s">
        <x:v>134</x:v>
      </x:c>
      <x:c r="E6" s="5"/>
    </x:row>
    <x:row r="7">
      <x:c r="A7" s="5" t="s">
        <x:v>135</x:v>
      </x:c>
      <x:c r="E7" s="5"/>
    </x:row>
    <x:row r="8">
      <x:c r="A8" s="5" t="s">
        <x:v>136</x:v>
      </x:c>
      <x:c r="E8" s="5"/>
    </x:row>
    <x:row r="9">
      <x:c r="A9" s="5" t="s">
        <x:v>43</x:v>
      </x:c>
      <x:c r="E9" s="5"/>
    </x:row>
    <x:row r="10">
      <x:c r="A10" s="5" t="s">
        <x:v>44</x:v>
      </x:c>
      <x:c r="E10" s="5"/>
    </x:row>
    <x:row r="11">
      <x:c r="A11" s="5" t="s">
        <x:v>7</x:v>
      </x:c>
      <x:c r="E11" s="5"/>
    </x:row>
    <x:row r="12">
      <x:c r="A12" s="5" t="s">
        <x:v>45</x:v>
      </x:c>
      <x:c r="E12" s="5"/>
    </x:row>
    <x:row r="13">
      <x:c r="A13" s="5" t="s">
        <x:v>137</x:v>
      </x:c>
      <x:c r="E13" s="5"/>
    </x:row>
    <x:row r="14">
      <x:c r="A14" s="5" t="s">
        <x:v>11</x:v>
      </x:c>
      <x:c r="E14" s="5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E2:E14">
      <x:formula1>"Yes,No,Not Checked"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1" width="15.630000114440918" customWidth="1"/>
    <x:col min="2" max="2" width="13.880000114440918" customWidth="1"/>
    <x:col min="3" max="3" width="4.75" customWidth="1"/>
    <x:col min="4" max="4" width="13.880000114440918" customWidth="1"/>
    <x:col min="5" max="5" width="20.25" customWidth="1"/>
    <x:col min="6" max="26" width="8.630000114440918" customWidth="1"/>
  </x:cols>
  <x:sheetData>
    <x:row r="1">
      <x:c r="A1" s="2" t="s">
        <x:v>138</x:v>
      </x:c>
      <x:c r="B1" s="2" t="s">
        <x:v>139</x:v>
      </x:c>
      <x:c r="C1" s="2" t="s">
        <x:v>37</x:v>
      </x:c>
      <x:c r="D1" s="2" t="s">
        <x:v>140</x:v>
      </x:c>
      <x:c r="E1" s="2" t="s">
        <x:v>141</x:v>
      </x:c>
    </x:row>
    <x:row r="2">
      <x:c r="A2" s="3" t="s">
        <x:v>81</x:v>
      </x:c>
      <x:c r="B2" s="3"/>
      <x:c r="C2" s="3"/>
      <x:c r="D2" s="3"/>
      <x:c r="E2" s="3" t="s">
        <x:v>142</x:v>
      </x:c>
    </x:row>
    <x:row r="3">
      <x:c r="A3" s="3" t="s">
        <x:v>75</x:v>
      </x:c>
      <x:c r="B3" s="3"/>
      <x:c r="C3" s="3"/>
      <x:c r="D3" s="3"/>
      <x:c r="E3" s="3" t="s">
        <x:v>143</x:v>
      </x:c>
    </x:row>
    <x:row r="4">
      <x:c r="A4" s="3" t="s">
        <x:v>144</x:v>
      </x:c>
      <x:c r="B4" s="3"/>
      <x:c r="C4" s="3" t="s">
        <x:v>145</x:v>
      </x:c>
      <x:c r="D4" s="3"/>
      <x:c r="E4" s="3" t="s">
        <x:v>146</x:v>
      </x:c>
    </x:row>
    <x:row r="5">
      <x:c r="A5" s="3" t="s">
        <x:v>134</x:v>
      </x:c>
      <x:c r="B5" s="3"/>
      <x:c r="C5" s="3" t="s">
        <x:v>147</x:v>
      </x:c>
      <x:c r="D5" s="3"/>
      <x:c r="E5" s="3" t="s">
        <x:v>144</x:v>
      </x:c>
    </x:row>
    <x:row r="6">
      <x:c r="A6" s="3" t="s">
        <x:v>148</x:v>
      </x:c>
      <x:c r="B6" s="3"/>
      <x:c r="C6" s="3" t="s">
        <x:v>145</x:v>
      </x:c>
      <x:c r="D6" s="3"/>
      <x:c r="E6" s="3" t="s">
        <x:v>149</x:v>
      </x:c>
    </x:row>
    <x:row r="7">
      <x:c r="A7" s="3" t="s">
        <x:v>149</x:v>
      </x:c>
      <x:c r="B7" s="3"/>
      <x:c r="C7" s="3" t="s">
        <x:v>145</x:v>
      </x:c>
      <x:c r="D7" s="3"/>
      <x:c r="E7" s="3" t="s">
        <x:v>150</x:v>
      </x:c>
    </x:row>
    <x:row r="8">
      <x:c r="A8" s="3" t="s">
        <x:v>135</x:v>
      </x:c>
      <x:c r="B8" s="3"/>
      <x:c r="C8" s="3" t="s">
        <x:v>147</x:v>
      </x:c>
      <x:c r="D8" s="3"/>
      <x:c r="E8" s="3" t="s">
        <x:v>136</x:v>
      </x:c>
    </x:row>
    <x:row r="9">
      <x:c r="A9" s="3" t="s">
        <x:v>136</x:v>
      </x:c>
      <x:c r="B9" s="3"/>
      <x:c r="C9" s="3" t="s">
        <x:v>145</x:v>
      </x:c>
      <x:c r="D9" s="3"/>
      <x:c r="E9" s="3" t="s">
        <x:v>135</x:v>
      </x:c>
    </x:row>
    <x:row r="10">
      <x:c r="A10" s="3" t="s">
        <x:v>110</x:v>
      </x:c>
      <x:c r="B10" s="3"/>
      <x:c r="C10" s="3"/>
      <x:c r="D10" s="3"/>
      <x:c r="E10" s="3" t="s">
        <x:v>151</x:v>
      </x:c>
    </x:row>
    <x:row r="11">
      <x:c r="A11" s="3" t="s">
        <x:v>151</x:v>
      </x:c>
      <x:c r="B11" s="3"/>
      <x:c r="C11" s="3"/>
      <x:c r="D11" s="3"/>
      <x:c r="E11" s="3" t="s">
        <x:v>110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"/>
  <x:cols>
    <x:col min="1" max="1" width="20.6299991607666" customWidth="1"/>
    <x:col min="2" max="2" width="19.3799991607666" customWidth="1"/>
    <x:col min="3" max="3" width="14.630000114440918" customWidth="1"/>
    <x:col min="4" max="4" width="7.75" customWidth="1"/>
    <x:col min="5" max="5" width="17" customWidth="1"/>
    <x:col min="6" max="6" width="4.75" customWidth="1"/>
    <x:col min="7" max="7" width="13" customWidth="1"/>
    <x:col min="8" max="8" width="9.25" customWidth="1"/>
    <x:col min="9" max="26" width="8.630000114440918" customWidth="1"/>
  </x:cols>
  <x:sheetData>
    <x:row r="1">
      <x:c r="A1" s="2" t="s">
        <x:v>152</x:v>
      </x:c>
      <x:c r="B1" s="2" t="s">
        <x:v>67</x:v>
      </x:c>
      <x:c r="C1" s="2" t="s">
        <x:v>153</x:v>
      </x:c>
      <x:c r="D1" s="2" t="s">
        <x:v>154</x:v>
      </x:c>
      <x:c r="E1" s="2" t="s">
        <x:v>155</x:v>
      </x:c>
      <x:c r="F1" s="2" t="s">
        <x:v>37</x:v>
      </x:c>
      <x:c r="G1" s="2" t="s">
        <x:v>22</x:v>
      </x:c>
      <x:c r="H1" s="2" t="s">
        <x:v>156</x:v>
      </x:c>
    </x:row>
    <x:row r="2">
      <x:c r="A2" s="3" t="s">
        <x:v>157</x:v>
      </x:c>
      <x:c r="B2" s="3" t="s">
        <x:v>158</x:v>
      </x:c>
      <x:c r="C2" s="3"/>
      <x:c r="D2" s="3" t="s">
        <x:v>159</x:v>
      </x:c>
      <x:c r="E2" s="3" t="s">
        <x:v>160</x:v>
      </x:c>
      <x:c r="F2" s="3"/>
      <x:c r="G2" s="3"/>
      <x:c r="H2" s="3"/>
    </x:row>
    <x:row r="3">
      <x:c r="A3" s="3" t="s">
        <x:v>157</x:v>
      </x:c>
      <x:c r="B3" s="3" t="s">
        <x:v>79</x:v>
      </x:c>
      <x:c r="C3" s="3"/>
      <x:c r="D3" s="3" t="s">
        <x:v>161</x:v>
      </x:c>
      <x:c r="E3" s="3" t="s">
        <x:v>160</x:v>
      </x:c>
      <x:c r="F3" s="3" t="s">
        <x:v>147</x:v>
      </x:c>
      <x:c r="G3" s="3"/>
      <x:c r="H3" s="3"/>
    </x:row>
    <x:row r="4">
      <x:c r="A4" s="3" t="s">
        <x:v>162</x:v>
      </x:c>
      <x:c r="B4" s="3" t="s">
        <x:v>82</x:v>
      </x:c>
      <x:c r="C4" s="3"/>
      <x:c r="D4" s="3" t="s">
        <x:v>161</x:v>
      </x:c>
      <x:c r="E4" s="3" t="s">
        <x:v>163</x:v>
      </x:c>
      <x:c r="F4" s="3" t="s">
        <x:v>145</x:v>
      </x:c>
      <x:c r="G4" s="3"/>
      <x:c r="H4" s="3"/>
    </x:row>
    <x:row r="5">
      <x:c r="A5" s="3" t="s">
        <x:v>164</x:v>
      </x:c>
      <x:c r="B5" s="3" t="s">
        <x:v>165</x:v>
      </x:c>
      <x:c r="C5" s="3"/>
      <x:c r="D5" s="3" t="s">
        <x:v>161</x:v>
      </x:c>
      <x:c r="E5" s="3" t="s">
        <x:v>163</x:v>
      </x:c>
      <x:c r="F5" s="3" t="s">
        <x:v>145</x:v>
      </x:c>
      <x:c r="G5" s="3"/>
      <x:c r="H5" s="3"/>
    </x:row>
    <x:row r="6">
      <x:c r="A6" s="3" t="s">
        <x:v>166</x:v>
      </x:c>
      <x:c r="B6" s="3" t="s">
        <x:v>167</x:v>
      </x:c>
      <x:c r="C6" s="3"/>
      <x:c r="D6" s="3" t="s">
        <x:v>161</x:v>
      </x:c>
      <x:c r="E6" s="3" t="s">
        <x:v>168</x:v>
      </x:c>
      <x:c r="F6" s="3" t="s">
        <x:v>145</x:v>
      </x:c>
      <x:c r="G6" s="3"/>
      <x:c r="H6" s="3"/>
    </x:row>
    <x:row r="7">
      <x:c r="A7" s="3" t="s">
        <x:v>169</x:v>
      </x:c>
      <x:c r="B7" s="3" t="s">
        <x:v>170</x:v>
      </x:c>
      <x:c r="C7" s="3"/>
      <x:c r="D7" s="3" t="s">
        <x:v>161</x:v>
      </x:c>
      <x:c r="E7" s="3" t="s">
        <x:v>171</x:v>
      </x:c>
      <x:c r="F7" s="3" t="s">
        <x:v>147</x:v>
      </x:c>
      <x:c r="G7" s="3"/>
      <x:c r="H7" s="3"/>
    </x:row>
    <x:row r="8">
      <x:c r="A8" s="3" t="s">
        <x:v>169</x:v>
      </x:c>
      <x:c r="B8" s="3" t="s">
        <x:v>88</x:v>
      </x:c>
      <x:c r="C8" s="3"/>
      <x:c r="D8" s="3" t="s">
        <x:v>161</x:v>
      </x:c>
      <x:c r="E8" s="3" t="s">
        <x:v>171</x:v>
      </x:c>
      <x:c r="F8" s="3" t="s">
        <x:v>145</x:v>
      </x:c>
      <x:c r="G8" s="3"/>
      <x:c r="H8" s="3"/>
    </x:row>
    <x:row r="9">
      <x:c r="A9" s="3" t="s">
        <x:v>172</x:v>
      </x:c>
      <x:c r="B9" s="3" t="s">
        <x:v>173</x:v>
      </x:c>
      <x:c r="C9" s="3"/>
      <x:c r="D9" s="3" t="s">
        <x:v>161</x:v>
      </x:c>
      <x:c r="E9" s="3" t="s">
        <x:v>174</x:v>
      </x:c>
      <x:c r="F9" s="3" t="s">
        <x:v>175</x:v>
      </x:c>
      <x:c r="G9" s="3"/>
      <x:c r="H9" s="3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2.630000114440918" defaultRowHeight="15"/>
  <x:cols>
    <x:col min="1" max="1" width="35.130001068115234" customWidth="1"/>
    <x:col min="2" max="2" width="15.380000114440918" customWidth="1"/>
    <x:col min="3" max="3" width="68" customWidth="1"/>
    <x:col min="4" max="26" width="8.630000114440918" customWidth="1"/>
  </x:cols>
  <x:sheetData>
    <x:row r="1">
      <x:c r="A1" s="2" t="s">
        <x:v>176</x:v>
      </x:c>
      <x:c r="B1" s="2" t="s">
        <x:v>177</x:v>
      </x:c>
      <x:c r="C1" s="2" t="s">
        <x:v>178</x:v>
      </x:c>
    </x:row>
    <x:row r="2">
      <x:c r="A2" s="3" t="s">
        <x:v>179</x:v>
      </x:c>
      <x:c r="B2" s="3"/>
      <x:c r="C2" s="3" t="s">
        <x:v>180</x:v>
      </x:c>
    </x:row>
    <x:row r="3">
      <x:c r="A3" s="3" t="s">
        <x:v>181</x:v>
      </x:c>
      <x:c r="B3" s="3"/>
      <x:c r="C3" s="3" t="s">
        <x:v>182</x:v>
      </x:c>
    </x:row>
    <x:row r="4">
      <x:c r="A4" s="3" t="s">
        <x:v>183</x:v>
      </x:c>
      <x:c r="B4" s="3"/>
      <x:c r="C4" s="3" t="s">
        <x:v>184</x:v>
      </x:c>
    </x:row>
    <x:row r="5">
      <x:c r="A5" s="3" t="s">
        <x:v>185</x:v>
      </x:c>
      <x:c r="B5" s="3"/>
      <x:c r="C5" s="3" t="s">
        <x:v>186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12.630000114440918" defaultRowHeight="15"/>
  <x:cols>
    <x:col min="1" max="1" width="19.1299991607666" customWidth="1"/>
    <x:col min="2" max="2" width="14.130000114440918" customWidth="1"/>
    <x:col min="3" max="3" width="5.25" customWidth="1"/>
    <x:col min="4" max="4" width="11.75" customWidth="1"/>
    <x:col min="5" max="5" width="9.130000114440918" customWidth="1"/>
    <x:col min="6" max="6" width="14.5" customWidth="1"/>
    <x:col min="7" max="7" width="11.130000114440918" customWidth="1"/>
    <x:col min="8" max="26" width="8.630000114440918" customWidth="1"/>
  </x:cols>
  <x:sheetData>
    <x:row r="1">
      <x:c r="A1" s="2" t="s">
        <x:v>187</x:v>
      </x:c>
      <x:c r="B1" s="2" t="s">
        <x:v>188</x:v>
      </x:c>
      <x:c r="C1" s="2" t="s">
        <x:v>149</x:v>
      </x:c>
      <x:c r="D1" s="2" t="s">
        <x:v>189</x:v>
      </x:c>
      <x:c r="E1" s="2" t="s">
        <x:v>190</x:v>
      </x:c>
      <x:c r="F1" s="2" t="s">
        <x:v>191</x:v>
      </x:c>
      <x:c r="G1" s="2" t="s">
        <x:v>72</x:v>
      </x:c>
    </x:row>
    <x:row r="2">
      <x:c r="A2" s="3" t="s">
        <x:v>43</x:v>
      </x:c>
      <x:c r="B2" s="3"/>
      <x:c r="C2" s="3"/>
      <x:c r="D2" s="3"/>
      <x:c r="E2" s="3"/>
      <x:c r="F2" s="3"/>
      <x:c r="G2" s="3"/>
    </x:row>
    <x:row r="3">
      <x:c r="A3" s="3" t="s">
        <x:v>9</x:v>
      </x:c>
      <x:c r="B3" s="3"/>
      <x:c r="C3" s="3"/>
      <x:c r="D3" s="3"/>
      <x:c r="E3" s="3"/>
      <x:c r="F3" s="3"/>
      <x:c r="G3" s="3"/>
    </x:row>
    <x:row r="4">
      <x:c r="A4" s="3" t="s">
        <x:v>11</x:v>
      </x:c>
      <x:c r="B4" s="3"/>
      <x:c r="C4" s="3"/>
      <x:c r="D4" s="3"/>
      <x:c r="E4" s="3"/>
      <x:c r="F4" s="3"/>
      <x:c r="G4" s="3"/>
    </x:row>
    <x:row r="5">
      <x:c r="A5" s="3" t="s">
        <x:v>192</x:v>
      </x:c>
      <x:c r="B5" s="3"/>
      <x:c r="C5" s="3"/>
      <x:c r="D5" s="3"/>
      <x:c r="E5" s="3"/>
      <x:c r="F5" s="3"/>
      <x:c r="G5" s="3"/>
    </x:row>
    <x:row r="6">
      <x:c r="A6" s="3" t="s">
        <x:v>193</x:v>
      </x:c>
      <x:c r="B6" s="3"/>
      <x:c r="C6" s="3"/>
      <x:c r="D6" s="3"/>
      <x:c r="E6" s="3"/>
      <x:c r="F6" s="3"/>
      <x:c r="G6" s="3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B2:B6">
      <x:formula1>"Leading,Lagging,Context-dependent"</x:formula1>
    </x:dataValidation>
    <x:dataValidation type="list" allowBlank="1" sqref="F2:F6">
      <x:formula1>"Daily,Weekly,Monthly,Event-driven"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ColWidth="12.630000114440918" defaultRowHeight="15"/>
  <x:cols>
    <x:col min="1" max="1" width="88.37999725341797" customWidth="1"/>
    <x:col min="2" max="2" width="12.130000114440918" customWidth="1"/>
    <x:col min="3" max="3" width="39.380001068115234" customWidth="1"/>
    <x:col min="4" max="26" width="8.630000114440918" customWidth="1"/>
  </x:cols>
  <x:sheetData>
    <x:row r="1">
      <x:c r="A1" s="2" t="s">
        <x:v>194</x:v>
      </x:c>
      <x:c r="B1" s="2" t="s">
        <x:v>195</x:v>
      </x:c>
      <x:c r="C1" s="2" t="s">
        <x:v>196</x:v>
      </x:c>
    </x:row>
    <x:row r="2">
      <x:c r="A2" s="3" t="s">
        <x:v>197</x:v>
      </x:c>
      <x:c r="B2" s="3"/>
      <x:c r="C2" s="3" t="s">
        <x:v>198</x:v>
      </x:c>
    </x:row>
    <x:row r="3">
      <x:c r="A3" s="3" t="s">
        <x:v>199</x:v>
      </x:c>
      <x:c r="B3" s="3"/>
      <x:c r="C3" s="3" t="s">
        <x:v>200</x:v>
      </x:c>
    </x:row>
    <x:row r="4">
      <x:c r="A4" s="3" t="s">
        <x:v>201</x:v>
      </x:c>
      <x:c r="B4" s="3"/>
      <x:c r="C4" s="3" t="s">
        <x:v>202</x:v>
      </x:c>
    </x:row>
    <x:row r="5">
      <x:c r="A5" s="3" t="s">
        <x:v>203</x:v>
      </x:c>
      <x:c r="B5" s="3"/>
      <x:c r="C5" s="3" t="s">
        <x:v>204</x:v>
      </x:c>
    </x:row>
    <x:row r="6">
      <x:c r="A6" s="3" t="s">
        <x:v>205</x:v>
      </x:c>
      <x:c r="B6" s="3"/>
      <x:c r="C6" s="3" t="s">
        <x:v>206</x:v>
      </x:c>
    </x:row>
    <x:row r="7">
      <x:c r="A7" s="3" t="s">
        <x:v>207</x:v>
      </x:c>
      <x:c r="B7" s="3"/>
      <x:c r="C7" s="3" t="s">
        <x:v>208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ColWidth="12.630000114440918" defaultRowHeight="15"/>
  <x:cols>
    <x:col min="1" max="1" width="71.62999725341797" customWidth="1"/>
    <x:col min="2" max="2" width="7.75" customWidth="1"/>
    <x:col min="3" max="3" width="14.25" customWidth="1"/>
    <x:col min="4" max="26" width="8.630000114440918" customWidth="1"/>
  </x:cols>
  <x:sheetData>
    <x:row r="1">
      <x:c r="A1" s="2" t="s">
        <x:v>194</x:v>
      </x:c>
      <x:c r="B1" s="2" t="s">
        <x:v>209</x:v>
      </x:c>
      <x:c r="C1" s="2" t="s">
        <x:v>210</x:v>
      </x:c>
    </x:row>
    <x:row r="2">
      <x:c r="A2" s="3" t="s">
        <x:v>211</x:v>
      </x:c>
      <x:c r="B2" s="3"/>
      <x:c r="C2" s="3"/>
    </x:row>
    <x:row r="3">
      <x:c r="A3" s="3" t="s">
        <x:v>212</x:v>
      </x:c>
      <x:c r="B3" s="3"/>
      <x:c r="C3" s="3"/>
    </x:row>
    <x:row r="4">
      <x:c r="A4" s="3" t="s">
        <x:v>213</x:v>
      </x:c>
      <x:c r="B4" s="3"/>
      <x:c r="C4" s="3"/>
    </x:row>
    <x:row r="5">
      <x:c r="A5" s="3" t="s">
        <x:v>214</x:v>
      </x:c>
      <x:c r="B5" s="3"/>
      <x:c r="C5" s="3"/>
    </x:row>
    <x:row r="6">
      <x:c r="A6" s="3" t="s">
        <x:v>215</x:v>
      </x:c>
      <x:c r="B6" s="3"/>
      <x:c r="C6" s="3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B2:B6">
      <x:formula1>"Survivorship bias,Sampling bias,Seasonality mistaken for trend,Correlation mistaken for causation,Aggregation/weighting trap"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ColWidth="12.630000114440918" defaultRowHeight="15"/>
  <x:cols>
    <x:col min="1" max="1" width="20" customWidth="1"/>
    <x:col min="2" max="2" width="33.130001068115234" customWidth="1"/>
    <x:col min="3" max="3" width="6.130000114440918" customWidth="1"/>
    <x:col min="4" max="4" width="21.6299991607666" customWidth="1"/>
    <x:col min="5" max="26" width="8.630000114440918" customWidth="1"/>
  </x:cols>
  <x:sheetData>
    <x:row r="1">
      <x:c r="A1" s="2" t="s">
        <x:v>216</x:v>
      </x:c>
      <x:c r="B1" s="2" t="s">
        <x:v>217</x:v>
      </x:c>
      <x:c r="C1" s="2" t="s">
        <x:v>218</x:v>
      </x:c>
      <x:c r="D1" s="2" t="s">
        <x:v>219</x:v>
      </x:c>
    </x:row>
    <x:row r="2">
      <x:c r="A2" s="3" t="s">
        <x:v>158</x:v>
      </x:c>
      <x:c r="B2" s="3"/>
      <x:c r="C2" s="3"/>
      <x:c r="D2" s="3"/>
    </x:row>
    <x:row r="3">
      <x:c r="A3" s="3" t="s">
        <x:v>75</x:v>
      </x:c>
      <x:c r="B3" s="3"/>
      <x:c r="C3" s="3"/>
      <x:c r="D3" s="3"/>
    </x:row>
    <x:row r="4">
      <x:c r="A4" s="3" t="s">
        <x:v>220</x:v>
      </x:c>
      <x:c r="B4" s="3"/>
      <x:c r="C4" s="3"/>
      <x:c r="D4" s="3"/>
    </x:row>
    <x:row r="5">
      <x:c r="A5" s="3" t="s">
        <x:v>221</x:v>
      </x:c>
      <x:c r="B5" s="3"/>
      <x:c r="C5" s="3"/>
      <x:c r="D5" s="3"/>
    </x:row>
    <x:row r="6">
      <x:c r="A6" s="3" t="s">
        <x:v>222</x:v>
      </x:c>
      <x:c r="B6" s="3"/>
      <x:c r="C6" s="3"/>
      <x:c r="D6" s="3"/>
    </x:row>
    <x:row r="7">
      <x:c r="A7" s="3" t="s">
        <x:v>223</x:v>
      </x:c>
      <x:c r="B7" s="3"/>
      <x:c r="C7" s="3"/>
      <x:c r="D7" s="3"/>
    </x:row>
    <x:row r="8">
      <x:c r="A8" s="3" t="s">
        <x:v>224</x:v>
      </x:c>
      <x:c r="B8" s="3"/>
      <x:c r="C8" s="3"/>
      <x:c r="D8" s="3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B2:B8">
      <x:formula1>"Yes,No,Depends"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ColWidth="12.630000114440918" defaultRowHeight="15"/>
  <x:cols>
    <x:col min="1" max="1" width="18" customWidth="1"/>
    <x:col min="2" max="2" width="32" customWidth="1"/>
    <x:col min="3" max="3" width="62" customWidth="1"/>
    <x:col min="4" max="4" width="18" customWidth="1"/>
    <x:col min="5" max="5" width="34" customWidth="1"/>
    <x:col min="6" max="26" width="8.630000114440918" customWidth="1"/>
  </x:cols>
  <x:sheetData>
    <x:row r="1">
      <x:c r="A1" s="2" t="s">
        <x:v>225</x:v>
      </x:c>
      <x:c r="B1" s="2" t="s">
        <x:v>226</x:v>
      </x:c>
      <x:c r="C1" s="2" t="s">
        <x:v>227</x:v>
      </x:c>
      <x:c r="D1" s="2" t="s">
        <x:v>228</x:v>
      </x:c>
      <x:c r="E1" s="2" t="s">
        <x:v>229</x:v>
      </x:c>
    </x:row>
    <x:row r="2">
      <x:c r="A2" s="3" t="s">
        <x:v>230</x:v>
      </x:c>
      <x:c r="B2" s="3" t="s">
        <x:v>231</x:v>
      </x:c>
      <x:c r="C2" s="3" t="s">
        <x:v>232</x:v>
      </x:c>
      <x:c r="D2" s="3" t="s">
        <x:v>233</x:v>
      </x:c>
      <x:c r="E2" s="3"/>
    </x:row>
    <x:row r="3">
      <x:c r="A3" s="3" t="s">
        <x:v>234</x:v>
      </x:c>
      <x:c r="B3" s="3" t="s">
        <x:v>235</x:v>
      </x:c>
      <x:c r="C3" s="3" t="s">
        <x:v>236</x:v>
      </x:c>
      <x:c r="D3" s="3" t="s">
        <x:v>233</x:v>
      </x:c>
      <x:c r="E3" s="3"/>
    </x:row>
    <x:row r="4">
      <x:c r="A4" s="3" t="s">
        <x:v>237</x:v>
      </x:c>
      <x:c r="B4" s="3" t="s">
        <x:v>238</x:v>
      </x:c>
      <x:c r="C4" s="3" t="s">
        <x:v>239</x:v>
      </x:c>
      <x:c r="D4" s="3" t="s">
        <x:v>233</x:v>
      </x:c>
      <x:c r="E4" s="3"/>
    </x:row>
    <x:row r="5">
      <x:c r="A5" s="3" t="s">
        <x:v>240</x:v>
      </x:c>
      <x:c r="B5" s="3" t="s">
        <x:v>241</x:v>
      </x:c>
      <x:c r="C5" s="3" t="s">
        <x:v>242</x:v>
      </x:c>
      <x:c r="D5" s="3" t="s">
        <x:v>233</x:v>
      </x:c>
      <x:c r="E5" s="3"/>
    </x:row>
    <x:row r="6">
      <x:c r="A6" s="3" t="s">
        <x:v>243</x:v>
      </x:c>
      <x:c r="B6" s="3" t="s">
        <x:v>244</x:v>
      </x:c>
      <x:c r="C6" s="3" t="s">
        <x:v>245</x:v>
      </x:c>
      <x:c r="D6" s="3" t="s">
        <x:v>233</x:v>
      </x:c>
      <x:c r="E6" s="3"/>
    </x:row>
    <x:row r="7">
      <x:c r="A7" s="3" t="s">
        <x:v>246</x:v>
      </x:c>
      <x:c r="B7" s="3" t="s">
        <x:v>247</x:v>
      </x:c>
      <x:c r="C7" s="3" t="s">
        <x:v>248</x:v>
      </x:c>
      <x:c r="D7" s="3" t="s">
        <x:v>233</x:v>
      </x:c>
      <x:c r="E7" s="3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D2:D7">
      <x:formula1>"Not Checked,Confirmed,Needs Review"</x:formula1>
    </x:dataValidation>
  </x:dataValidations>
  <x:pageMargins left="0.7" right="0.7" top="0.75" bottom="0.75" header="0.3" footer="0.3"/>
</x:worksheet>
</file>
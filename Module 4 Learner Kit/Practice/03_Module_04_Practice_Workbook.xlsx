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fa9380e05a40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40cb75ffb9d840e1"/>
    <x:sheet xmlns:r="http://schemas.openxmlformats.org/officeDocument/2006/relationships" name="Environment_Check" sheetId="2" r:id="Rf8f7378ec8ae4cd2"/>
    <x:sheet xmlns:r="http://schemas.openxmlformats.org/officeDocument/2006/relationships" name="Source_Inventory" sheetId="3" r:id="Ra7a54da261194c0d"/>
    <x:sheet xmlns:r="http://schemas.openxmlformats.org/officeDocument/2006/relationships" name="Grain_Fact_Classification" sheetId="4" r:id="R12e5c9966371409a"/>
    <x:sheet xmlns:r="http://schemas.openxmlformats.org/officeDocument/2006/relationships" name="Key_Uniqueness_Audit" sheetId="5" r:id="Re6ce1b27e2ce4856"/>
    <x:sheet xmlns:r="http://schemas.openxmlformats.org/officeDocument/2006/relationships" name="Star_Schema_Design" sheetId="6" r:id="R367aa1faf9a94453"/>
    <x:sheet xmlns:r="http://schemas.openxmlformats.org/officeDocument/2006/relationships" name="Relationship_Log" sheetId="7" r:id="R417ca8c6c6104fc8"/>
    <x:sheet xmlns:r="http://schemas.openxmlformats.org/officeDocument/2006/relationships" name="Filter_Propagation" sheetId="8" r:id="R6bf61154d8284dc6"/>
    <x:sheet xmlns:r="http://schemas.openxmlformats.org/officeDocument/2006/relationships" name="Unknown_Member_Audit" sheetId="9" r:id="R65bf50310d764227"/>
    <x:sheet xmlns:r="http://schemas.openxmlformats.org/officeDocument/2006/relationships" name="Fact_Type_Lab" sheetId="10" r:id="R8b33519cdb734ca2"/>
    <x:sheet xmlns:r="http://schemas.openxmlformats.org/officeDocument/2006/relationships" name="Mixed_Granularity" sheetId="11" r:id="R253bdcb151dc45db"/>
    <x:sheet xmlns:r="http://schemas.openxmlformats.org/officeDocument/2006/relationships" name="Date_Time_Architecture" sheetId="12" r:id="R30d8319b3f1f4ff6"/>
    <x:sheet xmlns:r="http://schemas.openxmlformats.org/officeDocument/2006/relationships" name="Role_Playing_Dates" sheetId="13" r:id="R6f66767fe5024d90"/>
    <x:sheet xmlns:r="http://schemas.openxmlformats.org/officeDocument/2006/relationships" name="SCD2_History" sheetId="14" r:id="R50a22a64cee4485a"/>
    <x:sheet xmlns:r="http://schemas.openxmlformats.org/officeDocument/2006/relationships" name="Bridge_ManyToMany" sheetId="15" r:id="R04d0bd9c03a94886"/>
    <x:sheet xmlns:r="http://schemas.openxmlformats.org/officeDocument/2006/relationships" name="Hierarchy_Lab" sheetId="16" r:id="Rf652b9140a0b4885"/>
    <x:sheet xmlns:r="http://schemas.openxmlformats.org/officeDocument/2006/relationships" name="Metadata_Audit" sheetId="17" r:id="R405bcb3a67254f5f"/>
    <x:sheet xmlns:r="http://schemas.openxmlformats.org/officeDocument/2006/relationships" name="Model_Layouts" sheetId="18" r:id="R7ce472b02f974a98"/>
    <x:sheet xmlns:r="http://schemas.openxmlformats.org/officeDocument/2006/relationships" name="Storage_Mode_Plan" sheetId="19" r:id="Rda035d7d3c3b4f62"/>
    <x:sheet xmlns:r="http://schemas.openxmlformats.org/officeDocument/2006/relationships" name="Regular_Limited_Relationships" sheetId="20" r:id="Rdad41ba32c174ffc"/>
    <x:sheet xmlns:r="http://schemas.openxmlformats.org/officeDocument/2006/relationships" name="Aggregation_Evidence" sheetId="21" r:id="R87a2ea76ca16482c"/>
    <x:sheet xmlns:r="http://schemas.openxmlformats.org/officeDocument/2006/relationships" name="Referential_Integrity" sheetId="22" r:id="R72ce86043e3c44f6"/>
    <x:sheet xmlns:r="http://schemas.openxmlformats.org/officeDocument/2006/relationships" name="Broken_Model_Diagnostics" sheetId="23" r:id="R199047e2c0744d2e"/>
    <x:sheet xmlns:r="http://schemas.openxmlformats.org/officeDocument/2006/relationships" name="Optimization_Audit" sheetId="24" r:id="Re9aac146043549ed"/>
    <x:sheet xmlns:r="http://schemas.openxmlformats.org/officeDocument/2006/relationships" name="Final_Validation" sheetId="25" r:id="Re80918d4d0264a5c"/>
    <x:sheet xmlns:r="http://schemas.openxmlformats.org/officeDocument/2006/relationships" name="Analytical_Challenge" sheetId="26" r:id="Rf5725c43b1cd4b26"/>
    <x:sheet xmlns:r="http://schemas.openxmlformats.org/officeDocument/2006/relationships" name="Checkpoint_Tracker" sheetId="27" r:id="R646b91c6e0af4b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200" fontId="3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78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d8d595ae704640" /><Relationship Type="http://schemas.openxmlformats.org/officeDocument/2006/relationships/theme" Target="/xl/theme/theme1.xml" Id="R65ca123ba0444cc8" /><Relationship Type="http://schemas.openxmlformats.org/officeDocument/2006/relationships/sharedStrings" Target="/xl/sharedStrings.xml" Id="Rf54304477ae941f3" /><Relationship Type="http://schemas.openxmlformats.org/officeDocument/2006/relationships/worksheet" Target="/xl/worksheets/sheet1.xml" Id="R40cb75ffb9d840e1" /><Relationship Type="http://schemas.openxmlformats.org/officeDocument/2006/relationships/worksheet" Target="/xl/worksheets/sheet2.xml" Id="Rf8f7378ec8ae4cd2" /><Relationship Type="http://schemas.openxmlformats.org/officeDocument/2006/relationships/worksheet" Target="/xl/worksheets/sheet3.xml" Id="Ra7a54da261194c0d" /><Relationship Type="http://schemas.openxmlformats.org/officeDocument/2006/relationships/worksheet" Target="/xl/worksheets/sheet4.xml" Id="R12e5c9966371409a" /><Relationship Type="http://schemas.openxmlformats.org/officeDocument/2006/relationships/worksheet" Target="/xl/worksheets/sheet5.xml" Id="Re6ce1b27e2ce4856" /><Relationship Type="http://schemas.openxmlformats.org/officeDocument/2006/relationships/worksheet" Target="/xl/worksheets/sheet6.xml" Id="R367aa1faf9a94453" /><Relationship Type="http://schemas.openxmlformats.org/officeDocument/2006/relationships/worksheet" Target="/xl/worksheets/sheet7.xml" Id="R417ca8c6c6104fc8" /><Relationship Type="http://schemas.openxmlformats.org/officeDocument/2006/relationships/worksheet" Target="/xl/worksheets/sheet8.xml" Id="R6bf61154d8284dc6" /><Relationship Type="http://schemas.openxmlformats.org/officeDocument/2006/relationships/worksheet" Target="/xl/worksheets/sheet9.xml" Id="R65bf50310d764227" /><Relationship Type="http://schemas.openxmlformats.org/officeDocument/2006/relationships/worksheet" Target="/xl/worksheets/sheet10.xml" Id="R8b33519cdb734ca2" /><Relationship Type="http://schemas.openxmlformats.org/officeDocument/2006/relationships/worksheet" Target="/xl/worksheets/sheet11.xml" Id="R253bdcb151dc45db" /><Relationship Type="http://schemas.openxmlformats.org/officeDocument/2006/relationships/worksheet" Target="/xl/worksheets/sheet12.xml" Id="R30d8319b3f1f4ff6" /><Relationship Type="http://schemas.openxmlformats.org/officeDocument/2006/relationships/worksheet" Target="/xl/worksheets/sheet13.xml" Id="R6f66767fe5024d90" /><Relationship Type="http://schemas.openxmlformats.org/officeDocument/2006/relationships/worksheet" Target="/xl/worksheets/sheet14.xml" Id="R50a22a64cee4485a" /><Relationship Type="http://schemas.openxmlformats.org/officeDocument/2006/relationships/worksheet" Target="/xl/worksheets/sheet15.xml" Id="R04d0bd9c03a94886" /><Relationship Type="http://schemas.openxmlformats.org/officeDocument/2006/relationships/worksheet" Target="/xl/worksheets/sheet16.xml" Id="Rf652b9140a0b4885" /><Relationship Type="http://schemas.openxmlformats.org/officeDocument/2006/relationships/worksheet" Target="/xl/worksheets/sheet17.xml" Id="R405bcb3a67254f5f" /><Relationship Type="http://schemas.openxmlformats.org/officeDocument/2006/relationships/worksheet" Target="/xl/worksheets/sheet18.xml" Id="R7ce472b02f974a98" /><Relationship Type="http://schemas.openxmlformats.org/officeDocument/2006/relationships/worksheet" Target="/xl/worksheets/sheet19.xml" Id="Rda035d7d3c3b4f62" /><Relationship Type="http://schemas.openxmlformats.org/officeDocument/2006/relationships/worksheet" Target="/xl/worksheets/sheet20.xml" Id="Rdad41ba32c174ffc" /><Relationship Type="http://schemas.openxmlformats.org/officeDocument/2006/relationships/worksheet" Target="/xl/worksheets/sheet21.xml" Id="R87a2ea76ca16482c" /><Relationship Type="http://schemas.openxmlformats.org/officeDocument/2006/relationships/worksheet" Target="/xl/worksheets/sheet22.xml" Id="R72ce86043e3c44f6" /><Relationship Type="http://schemas.openxmlformats.org/officeDocument/2006/relationships/worksheet" Target="/xl/worksheets/sheet23.xml" Id="R199047e2c0744d2e" /><Relationship Type="http://schemas.openxmlformats.org/officeDocument/2006/relationships/worksheet" Target="/xl/worksheets/sheet24.xml" Id="Re9aac146043549ed" /><Relationship Type="http://schemas.openxmlformats.org/officeDocument/2006/relationships/worksheet" Target="/xl/worksheets/sheet25.xml" Id="Re80918d4d0264a5c" /><Relationship Type="http://schemas.openxmlformats.org/officeDocument/2006/relationships/worksheet" Target="/xl/worksheets/sheet26.xml" Id="Rf5725c43b1cd4b26" /><Relationship Type="http://schemas.openxmlformats.org/officeDocument/2006/relationships/worksheet" Target="/xl/worksheets/sheet27.xml" Id="R646b91c6e0af4b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96" hidden="0" customWidth="1"/>
  </x:cols>
  <x:sheetData>
    <x:row r="1" ht="28" customHeight="1">
      <x:c r="A1" s="6" t="str">
        <x:v>SunnyVerse Renewable Group — Module 4 Semantic Modeling Practice Workbook</x:v>
      </x:c>
      <x:c r="B1" s="6"/>
    </x:row>
    <x:row r="3" ht="32" customHeight="1">
      <x:c r="A3" s="16" t="str">
        <x:v>Item</x:v>
      </x:c>
      <x:c r="B3" s="16" t="str">
        <x:v>Guidance</x:v>
      </x:c>
    </x:row>
    <x:row r="4">
      <x:c r="A4" s="24" t="str">
        <x:v>Purpose</x:v>
      </x:c>
      <x:c r="B4" s="24" t="str">
        <x:v>Record evidence while following 01_Module_04_Detailed_Build_Guide.docx.</x:v>
      </x:c>
    </x:row>
    <x:row r="5">
      <x:c r="A5" s="24" t="str">
        <x:v>Primary question</x:v>
      </x:c>
      <x:c r="B5" s="24" t="str">
        <x:v>How does prepared data become a semantic model whose grain, keys, relationships and metadata produce correct analytical behavior?</x:v>
      </x:c>
    </x:row>
    <x:row r="6">
      <x:c r="A6" s="24" t="str">
        <x:v>Primary PBIX</x:v>
      </x:c>
      <x:c r="B6" s="24" t="str">
        <x:v>Module_04_Semantic_Model_Lab.pbix</x:v>
      </x:c>
    </x:row>
    <x:row r="7">
      <x:c r="A7" s="24" t="str">
        <x:v>Composite PBIX</x:v>
      </x:c>
      <x:c r="B7" s="24" t="str">
        <x:v>Module_04_Composite_Aggregation_Lab.pbix</x:v>
      </x:c>
    </x:row>
    <x:row r="8">
      <x:c r="A8" s="24" t="str">
        <x:v>Database</x:v>
      </x:c>
      <x:c r="B8" s="24" t="str">
        <x:v>SunnyVerseRenewableGroup extended by 01_Extend_SunnyVerseRenewableGroup_Module_04.sql</x:v>
      </x:c>
    </x:row>
    <x:row r="9">
      <x:c r="A9" s="24" t="str">
        <x:v>Core DirectQuery fact</x:v>
      </x:c>
      <x:c r="B9" s="24" t="str">
        <x:v>dbo.Model_FactIntervalGeneration — 500,000 rows</x:v>
      </x:c>
    </x:row>
    <x:row r="10">
      <x:c r="A10" s="24" t="str">
        <x:v>Date authority</x:v>
      </x:c>
      <x:c r="B10" s="24" t="str">
        <x:v>DimDate source: 2024-01-01 through 2026-12-31, 1,096 rows</x:v>
      </x:c>
    </x:row>
    <x:row r="11">
      <x:c r="A11" s="24" t="str">
        <x:v>Time authority</x:v>
      </x:c>
      <x:c r="B11" s="24" t="str">
        <x:v>DimTime: 96 quarter-hour members</x:v>
      </x:c>
    </x:row>
    <x:row r="12">
      <x:c r="A12" s="24" t="str">
        <x:v>Model rule</x:v>
      </x:c>
      <x:c r="B12" s="24" t="str">
        <x:v>Write and prove grain/keys before creating relationships.</x:v>
      </x:c>
    </x:row>
    <x:row r="13">
      <x:c r="A13" s="24" t="str">
        <x:v>Relationship rule</x:v>
      </x:c>
      <x:c r="B13" s="24" t="str">
        <x:v>A line in Model view is not proof that a model is correct.</x:v>
      </x:c>
    </x:row>
    <x:row r="14">
      <x:c r="A14" s="24" t="str">
        <x:v>Troubleshooting rhythm</x:v>
      </x:c>
      <x:c r="B14" s="24" t="str">
        <x:v>Build → Observe → Inspect → Validate → Break → Diagnose → Repair → Revalidate</x:v>
      </x:c>
    </x:row>
    <x:row r="15">
      <x:c r="A15" s="24" t="str">
        <x:v>DAX boundary</x:v>
      </x:c>
      <x:c r="B15" s="24" t="str">
        <x:v>Use only minimal validation calculations; DAX foundations begin in Module Five.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28" hidden="0" customWidth="1"/>
    <x:col min="3" max="3" width="58" hidden="0" customWidth="1"/>
    <x:col min="4" max="4" width="44" hidden="0" customWidth="1"/>
    <x:col min="5" max="5" width="18" hidden="0" customWidth="1"/>
  </x:cols>
  <x:sheetData>
    <x:row r="1" ht="28" customHeight="1">
      <x:c r="A1" s="6" t="str">
        <x:v>Environment, Version and Frozen Source Verification</x:v>
      </x:c>
      <x:c r="B1" s="6"/>
      <x:c r="C1" s="6"/>
      <x:c r="D1" s="6"/>
      <x:c r="E1" s="6"/>
    </x:row>
    <x:row r="3" ht="32" customHeight="1">
      <x:c r="A3" s="16" t="str">
        <x:v>Item</x:v>
      </x:c>
      <x:c r="B3" s="16" t="str">
        <x:v>LearnerValue</x:v>
      </x:c>
      <x:c r="C3" s="16" t="str">
        <x:v>Expected/Guidance</x:v>
      </x:c>
      <x:c r="D3" s="16" t="str">
        <x:v>Evidence</x:v>
      </x:c>
      <x:c r="E3" s="16" t="str">
        <x:v>Status</x:v>
      </x:c>
    </x:row>
    <x:row r="4">
      <x:c r="A4" s="24" t="str">
        <x:v>Power BI Desktop version</x:v>
      </x:c>
      <x:c r="B4" s="24" t="str"/>
      <x:c r="C4" s="24" t="str">
        <x:v>Record exact installed build; UI labels are version-sensitive.</x:v>
      </x:c>
      <x:c r="D4" s="24" t="str"/>
      <x:c r="E4" s="24" t="str">
        <x:v>Not Started</x:v>
      </x:c>
    </x:row>
    <x:row r="5">
      <x:c r="A5" s="24" t="str">
        <x:v>Model view</x:v>
      </x:c>
      <x:c r="B5" s="24" t="str"/>
      <x:c r="C5" s="24" t="str">
        <x:v>Open Model view successfully.</x:v>
      </x:c>
      <x:c r="D5" s="24" t="str"/>
      <x:c r="E5" s="24" t="str">
        <x:v>Not Started</x:v>
      </x:c>
    </x:row>
    <x:row r="6">
      <x:c r="A6" s="24" t="str">
        <x:v>Model explorer</x:v>
      </x:c>
      <x:c r="B6" s="24" t="str"/>
      <x:c r="C6" s="24" t="str">
        <x:v>Record whether present/enabled in your build.</x:v>
      </x:c>
      <x:c r="D6" s="24" t="str"/>
      <x:c r="E6" s="24" t="str">
        <x:v>Not Started</x:v>
      </x:c>
    </x:row>
    <x:row r="7">
      <x:c r="A7" s="24" t="str">
        <x:v>TMDL view</x:v>
      </x:c>
      <x:c r="B7" s="24" t="str"/>
      <x:c r="C7" s="24" t="str">
        <x:v>Locate the TMDL view; use as inspection surface only.</x:v>
      </x:c>
      <x:c r="D7" s="24" t="str"/>
      <x:c r="E7" s="24" t="str">
        <x:v>Not Started</x:v>
      </x:c>
    </x:row>
    <x:row r="8">
      <x:c r="A8" s="24" t="str">
        <x:v>Relationship pane preview</x:v>
      </x:c>
      <x:c r="B8" s="24" t="str"/>
      <x:c r="C8" s="24" t="str">
        <x:v>Record current state if present; not required.</x:v>
      </x:c>
      <x:c r="D8" s="24" t="str"/>
      <x:c r="E8" s="24" t="str">
        <x:v>Not Started</x:v>
      </x:c>
    </x:row>
    <x:row r="9">
      <x:c r="A9" s="24" t="str">
        <x:v>SQL Server service</x:v>
      </x:c>
      <x:c r="B9" s="24" t="str"/>
      <x:c r="C9" s="24" t="str">
        <x:v>Running.</x:v>
      </x:c>
      <x:c r="D9" s="24" t="str"/>
      <x:c r="E9" s="24" t="str">
        <x:v>Not Started</x:v>
      </x:c>
    </x:row>
    <x:row r="10">
      <x:c r="A10" s="24" t="str">
        <x:v>SQL endpoint</x:v>
      </x:c>
      <x:c r="B10" s="24" t="str"/>
      <x:c r="C10" s="24" t="str">
        <x:v>localhost on the standard path.</x:v>
      </x:c>
      <x:c r="D10" s="24" t="str"/>
      <x:c r="E10" s="24" t="str">
        <x:v>Not Started</x:v>
      </x:c>
    </x:row>
    <x:row r="11">
      <x:c r="A11" s="24" t="str">
        <x:v>Database</x:v>
      </x:c>
      <x:c r="B11" s="24" t="str"/>
      <x:c r="C11" s="24" t="str">
        <x:v>SunnyVerseRenewableGroup.</x:v>
      </x:c>
      <x:c r="D11" s="24" t="str"/>
      <x:c r="E11" s="24" t="str">
        <x:v>Not Started</x:v>
      </x:c>
    </x:row>
    <x:row r="12">
      <x:c r="A12" s="24" t="str">
        <x:v>Stage 2 source fingerprints</x:v>
      </x:c>
      <x:c r="B12" s="24" t="str"/>
      <x:c r="C12" s="24" t="str">
        <x:v>37 learner Source_Files reconcile to Validation/Source_File_SHA256.csv.</x:v>
      </x:c>
      <x:c r="D12" s="24" t="str"/>
      <x:c r="E12" s="24" t="str">
        <x:v>Not Started</x:v>
      </x:c>
    </x:row>
    <x:row r="13">
      <x:c r="A13" s="24" t="str">
        <x:v>Inherited IntervalGeneration</x:v>
      </x:c>
      <x:c r="B13" s="24" t="str"/>
      <x:c r="C13" s="24" t="str">
        <x:v>500000 rows.</x:v>
      </x:c>
      <x:c r="D13" s="24" t="str"/>
      <x:c r="E13" s="24" t="str">
        <x:v>Not Started</x:v>
      </x:c>
    </x:row>
    <x:row r="14">
      <x:c r="A14" s="24" t="str">
        <x:v>Module 4 interval view</x:v>
      </x:c>
      <x:c r="B14" s="24" t="str"/>
      <x:c r="C14" s="24" t="str">
        <x:v>500000 rows.</x:v>
      </x:c>
      <x:c r="D14" s="24" t="str"/>
      <x:c r="E14" s="24" t="str">
        <x:v>Not Started</x:v>
      </x:c>
    </x:row>
    <x:row r="15">
      <x:c r="A15" s="24" t="str">
        <x:v>Module 4 RI-broken interval view</x:v>
      </x:c>
      <x:c r="B15" s="24" t="str"/>
      <x:c r="C15" s="24" t="str">
        <x:v>500005 rows.</x:v>
      </x:c>
      <x:c r="D15" s="24" t="str"/>
      <x:c r="E15" s="24" t="str">
        <x:v>Not Started</x:v>
      </x:c>
    </x:row>
  </x:sheetData>
  <x:mergeCells>
    <x:mergeCell ref="A1:E1"/>
  </x:mergeCells>
  <x:conditionalFormatting sqref="E4:E15">
    <x:cfRule type="expression" dxfId="0" priority="1">
      <x:formula>E4="Validated"</x:formula>
    </x:cfRule>
    <x:cfRule type="expression" dxfId="1" priority="2">
      <x:formula>E4="Needs Review"</x:formula>
    </x:cfRule>
    <x:cfRule type="expression" dxfId="2" priority="3">
      <x:formula>E4="In Progress"</x:formula>
    </x:cfRule>
  </x:conditionalFormatting>
  <x:dataValidations count="1">
    <x:dataValidation type="list" sqref="E4:E15">
      <x:formula1>"Not Started,In Progress,Validated,Needs Review"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0" hidden="0" customWidth="1"/>
    <x:col min="4" max="4" width="58" hidden="0" customWidth="1"/>
    <x:col min="5" max="5" width="18" hidden="0" customWidth="1"/>
  </x:cols>
  <x:sheetData>
    <x:row r="1" ht="28" customHeight="1">
      <x:c r="A1" s="6" t="str">
        <x:v>Module Four Modeling Source Inventory</x:v>
      </x:c>
      <x:c r="B1" s="6"/>
      <x:c r="C1" s="6"/>
      <x:c r="D1" s="6"/>
      <x:c r="E1" s="6"/>
    </x:row>
    <x:row r="3" ht="32" customHeight="1">
      <x:c r="A3" s="16" t="str">
        <x:v>Object</x:v>
      </x:c>
      <x:c r="B3" s="16" t="str">
        <x:v>ExpectedRows</x:v>
      </x:c>
      <x:c r="C3" s="16" t="str">
        <x:v>LearnerObserved</x:v>
      </x:c>
      <x:c r="D3" s="16" t="str">
        <x:v>Source/Role Note</x:v>
      </x:c>
      <x:c r="E3" s="16" t="str">
        <x:v>Status</x:v>
      </x:c>
    </x:row>
    <x:row r="4">
      <x:c r="A4" s="24" t="str">
        <x:v>Inherited Regions</x:v>
      </x:c>
      <x:c r="B4" s="24" t="str">
        <x:v>4</x:v>
      </x:c>
      <x:c r="C4" s="24" t="str"/>
      <x:c r="D4" s="24" t="str"/>
      <x:c r="E4" s="24" t="str">
        <x:v>Not Started</x:v>
      </x:c>
    </x:row>
    <x:row r="5">
      <x:c r="A5" s="24" t="str">
        <x:v>Inherited Technologies</x:v>
      </x:c>
      <x:c r="B5" s="24" t="str">
        <x:v>9</x:v>
      </x:c>
      <x:c r="C5" s="24" t="str"/>
      <x:c r="D5" s="24" t="str"/>
      <x:c r="E5" s="24" t="str">
        <x:v>Not Started</x:v>
      </x:c>
    </x:row>
    <x:row r="6">
      <x:c r="A6" s="24" t="str">
        <x:v>Inherited Plants</x:v>
      </x:c>
      <x:c r="B6" s="24" t="str">
        <x:v>12</x:v>
      </x:c>
      <x:c r="C6" s="24" t="str"/>
      <x:c r="D6" s="24" t="str"/>
      <x:c r="E6" s="24" t="str">
        <x:v>Not Started</x:v>
      </x:c>
    </x:row>
    <x:row r="7">
      <x:c r="A7" s="24" t="str">
        <x:v>Inherited IntervalGeneration</x:v>
      </x:c>
      <x:c r="B7" s="24" t="str">
        <x:v>500000</x:v>
      </x:c>
      <x:c r="C7" s="24" t="str"/>
      <x:c r="D7" s="24" t="str"/>
      <x:c r="E7" s="24" t="str">
        <x:v>Not Started</x:v>
      </x:c>
    </x:row>
    <x:row r="8">
      <x:c r="A8" s="24" t="str">
        <x:v>Inherited BatteryStorageInterval</x:v>
      </x:c>
      <x:c r="B8" s="24" t="str">
        <x:v>50000</x:v>
      </x:c>
      <x:c r="C8" s="24" t="str"/>
      <x:c r="D8" s="24" t="str"/>
      <x:c r="E8" s="24" t="str">
        <x:v>Not Started</x:v>
      </x:c>
    </x:row>
    <x:row r="9">
      <x:c r="A9" s="24" t="str">
        <x:v>Model_DimRegion</x:v>
      </x:c>
      <x:c r="B9" s="24" t="str">
        <x:v>4</x:v>
      </x:c>
      <x:c r="C9" s="24" t="str"/>
      <x:c r="D9" s="24" t="str"/>
      <x:c r="E9" s="24" t="str">
        <x:v>Not Started</x:v>
      </x:c>
    </x:row>
    <x:row r="10">
      <x:c r="A10" s="24" t="str">
        <x:v>Model_DimTechnology</x:v>
      </x:c>
      <x:c r="B10" s="24" t="str">
        <x:v>9</x:v>
      </x:c>
      <x:c r="C10" s="24" t="str"/>
      <x:c r="D10" s="24" t="str"/>
      <x:c r="E10" s="24" t="str">
        <x:v>Not Started</x:v>
      </x:c>
    </x:row>
    <x:row r="11">
      <x:c r="A11" s="24" t="str">
        <x:v>Model_DimPlantCurrent</x:v>
      </x:c>
      <x:c r="B11" s="24" t="str">
        <x:v>12</x:v>
      </x:c>
      <x:c r="C11" s="24" t="str"/>
      <x:c r="D11" s="24" t="str"/>
      <x:c r="E11" s="24" t="str">
        <x:v>Not Started</x:v>
      </x:c>
    </x:row>
    <x:row r="12">
      <x:c r="A12" s="24" t="str">
        <x:v>Model_DimPlantHistory</x:v>
      </x:c>
      <x:c r="B12" s="24" t="str">
        <x:v>17</x:v>
      </x:c>
      <x:c r="C12" s="24" t="str"/>
      <x:c r="D12" s="24" t="str"/>
      <x:c r="E12" s="24" t="str">
        <x:v>Not Started</x:v>
      </x:c>
    </x:row>
    <x:row r="13">
      <x:c r="A13" s="24" t="str">
        <x:v>Model_DimDate_Source</x:v>
      </x:c>
      <x:c r="B13" s="24" t="str">
        <x:v>1096</x:v>
      </x:c>
      <x:c r="C13" s="24" t="str"/>
      <x:c r="D13" s="24" t="str"/>
      <x:c r="E13" s="24" t="str">
        <x:v>Not Started</x:v>
      </x:c>
    </x:row>
    <x:row r="14">
      <x:c r="A14" s="24" t="str">
        <x:v>Model_DimTime_Source</x:v>
      </x:c>
      <x:c r="B14" s="24" t="str">
        <x:v>96</x:v>
      </x:c>
      <x:c r="C14" s="24" t="str"/>
      <x:c r="D14" s="24" t="str"/>
      <x:c r="E14" s="24" t="str">
        <x:v>Not Started</x:v>
      </x:c>
    </x:row>
    <x:row r="15">
      <x:c r="A15" s="24" t="str">
        <x:v>Model_DimEquipment</x:v>
      </x:c>
      <x:c r="B15" s="24" t="str">
        <x:v>36</x:v>
      </x:c>
      <x:c r="C15" s="24" t="str"/>
      <x:c r="D15" s="24" t="str"/>
      <x:c r="E15" s="24" t="str">
        <x:v>Not Started</x:v>
      </x:c>
    </x:row>
    <x:row r="16">
      <x:c r="A16" s="24" t="str">
        <x:v>Model_DimSupplier</x:v>
      </x:c>
      <x:c r="B16" s="24" t="str">
        <x:v>12</x:v>
      </x:c>
      <x:c r="C16" s="24" t="str"/>
      <x:c r="D16" s="24" t="str"/>
      <x:c r="E16" s="24" t="str">
        <x:v>Not Started</x:v>
      </x:c>
    </x:row>
    <x:row r="17">
      <x:c r="A17" s="24" t="str">
        <x:v>Model_DimContract</x:v>
      </x:c>
      <x:c r="B17" s="24" t="str">
        <x:v>8</x:v>
      </x:c>
      <x:c r="C17" s="24" t="str"/>
      <x:c r="D17" s="24" t="str"/>
      <x:c r="E17" s="24" t="str">
        <x:v>Not Started</x:v>
      </x:c>
    </x:row>
    <x:row r="18">
      <x:c r="A18" s="24" t="str">
        <x:v>Model_DimMaintenanceFlags</x:v>
      </x:c>
      <x:c r="B18" s="24" t="str">
        <x:v>8</x:v>
      </x:c>
      <x:c r="C18" s="24" t="str"/>
      <x:c r="D18" s="24" t="str"/>
      <x:c r="E18" s="24" t="str">
        <x:v>Not Started</x:v>
      </x:c>
    </x:row>
    <x:row r="19">
      <x:c r="A19" s="24" t="str">
        <x:v>Model_BridgePlantContract</x:v>
      </x:c>
      <x:c r="B19" s="24" t="str">
        <x:v>18</x:v>
      </x:c>
      <x:c r="C19" s="24" t="str"/>
      <x:c r="D19" s="24" t="str"/>
      <x:c r="E19" s="24" t="str">
        <x:v>Not Started</x:v>
      </x:c>
    </x:row>
    <x:row r="20">
      <x:c r="A20" s="24" t="str">
        <x:v>Model_BridgeEquipmentSupplier</x:v>
      </x:c>
      <x:c r="B20" s="24" t="str">
        <x:v>42</x:v>
      </x:c>
      <x:c r="C20" s="24" t="str"/>
      <x:c r="D20" s="24" t="str"/>
      <x:c r="E20" s="24" t="str">
        <x:v>Not Started</x:v>
      </x:c>
    </x:row>
    <x:row r="21">
      <x:c r="A21" s="24" t="str">
        <x:v>Model_FactIntervalGeneration</x:v>
      </x:c>
      <x:c r="B21" s="24" t="str">
        <x:v>500000</x:v>
      </x:c>
      <x:c r="C21" s="24" t="str"/>
      <x:c r="D21" s="24" t="str"/>
      <x:c r="E21" s="24" t="str">
        <x:v>Not Started</x:v>
      </x:c>
    </x:row>
    <x:row r="22">
      <x:c r="A22" s="24" t="str">
        <x:v>Model_FactBatteryDailySnapshot</x:v>
      </x:c>
      <x:c r="B22" s="24" t="str">
        <x:v>522</x:v>
      </x:c>
      <x:c r="C22" s="24" t="str"/>
      <x:c r="D22" s="24" t="str"/>
      <x:c r="E22" s="24" t="str">
        <x:v>Not Started</x:v>
      </x:c>
    </x:row>
    <x:row r="23">
      <x:c r="A23" s="24" t="str">
        <x:v>Model_FactMaintenanceWorkOrder</x:v>
      </x:c>
      <x:c r="B23" s="24" t="str">
        <x:v>23</x:v>
      </x:c>
      <x:c r="C23" s="24" t="str"/>
      <x:c r="D23" s="24" t="str"/>
      <x:c r="E23" s="24" t="str">
        <x:v>Not Started</x:v>
      </x:c>
    </x:row>
    <x:row r="24">
      <x:c r="A24" s="24" t="str">
        <x:v>Model_FactMaintenanceTask</x:v>
      </x:c>
      <x:c r="B24" s="24" t="str">
        <x:v>46</x:v>
      </x:c>
      <x:c r="C24" s="24" t="str"/>
      <x:c r="D24" s="24" t="str"/>
      <x:c r="E24" s="24" t="str">
        <x:v>Not Started</x:v>
      </x:c>
    </x:row>
    <x:row r="25">
      <x:c r="A25" s="24" t="str">
        <x:v>Model_FactInspectionSchedule</x:v>
      </x:c>
      <x:c r="B25" s="24" t="str">
        <x:v>36</x:v>
      </x:c>
      <x:c r="C25" s="24" t="str"/>
      <x:c r="D25" s="24" t="str"/>
      <x:c r="E25" s="24" t="str">
        <x:v>Not Started</x:v>
      </x:c>
    </x:row>
    <x:row r="26">
      <x:c r="A26" s="24" t="str">
        <x:v>Model_FactGenerationForecast</x:v>
      </x:c>
      <x:c r="B26" s="24" t="str">
        <x:v>66</x:v>
      </x:c>
      <x:c r="C26" s="24" t="str"/>
      <x:c r="D26" s="24" t="str"/>
      <x:c r="E26" s="24" t="str">
        <x:v>Not Started</x:v>
      </x:c>
    </x:row>
    <x:row r="27">
      <x:c r="A27" s="24" t="str">
        <x:v>Model_FactRegionalTargetMonthly</x:v>
      </x:c>
      <x:c r="B27" s="24" t="str">
        <x:v>12</x:v>
      </x:c>
      <x:c r="C27" s="24" t="str"/>
      <x:c r="D27" s="24" t="str"/>
      <x:c r="E27" s="24" t="str">
        <x:v>Not Started</x:v>
      </x:c>
    </x:row>
    <x:row r="28">
      <x:c r="A28" s="24" t="str">
        <x:v>Model_FactHydroOperatingContext</x:v>
      </x:c>
      <x:c r="B28" s="24" t="str">
        <x:v>184</x:v>
      </x:c>
      <x:c r="C28" s="24" t="str"/>
      <x:c r="D28" s="24" t="str"/>
      <x:c r="E28" s="24" t="str">
        <x:v>Not Started</x:v>
      </x:c>
    </x:row>
    <x:row r="29">
      <x:c r="A29" s="24" t="str">
        <x:v>Model_AggGenerationDayPlant</x:v>
      </x:c>
      <x:c r="B29" s="24" t="str">
        <x:v>5214</x:v>
      </x:c>
      <x:c r="C29" s="24" t="str"/>
      <x:c r="D29" s="24" t="str"/>
      <x:c r="E29" s="24" t="str">
        <x:v>Not Started</x:v>
      </x:c>
    </x:row>
    <x:row r="30">
      <x:c r="A30" s="24" t="str">
        <x:v>Model_FactIntervalGeneration_RI_Broken</x:v>
      </x:c>
      <x:c r="B30" s="24" t="str">
        <x:v>500005</x:v>
      </x:c>
      <x:c r="C30" s="24" t="str"/>
      <x:c r="D30" s="24" t="str"/>
      <x:c r="E30" s="24" t="str">
        <x:v>Not Started</x:v>
      </x:c>
    </x:row>
    <x:row r="31">
      <x:c r="A31" s="24" t="str">
        <x:v>OneToOne_Plant_Profile.csv</x:v>
      </x:c>
      <x:c r="B31" s="24" t="str">
        <x:v>12</x:v>
      </x:c>
      <x:c r="C31" s="24" t="str"/>
      <x:c r="D31" s="24" t="str"/>
      <x:c r="E31" s="24" t="str">
        <x:v>Not Started</x:v>
      </x:c>
    </x:row>
    <x:row r="32">
      <x:c r="A32" s="24" t="str">
        <x:v>CrossSource_Plant_Grouping.csv</x:v>
      </x:c>
      <x:c r="B32" s="24" t="str">
        <x:v>12</x:v>
      </x:c>
      <x:c r="C32" s="24" t="str"/>
      <x:c r="D32" s="24" t="str"/>
      <x:c r="E32" s="24" t="str">
        <x:v>Not Started</x:v>
      </x:c>
    </x:row>
  </x:sheetData>
  <x:mergeCells>
    <x:mergeCell ref="A1:E1"/>
  </x:mergeCells>
  <x:conditionalFormatting sqref="E4:E32">
    <x:cfRule type="expression" dxfId="3" priority="1">
      <x:formula>E4="Validated"</x:formula>
    </x:cfRule>
    <x:cfRule type="expression" dxfId="4" priority="2">
      <x:formula>E4="Needs Review"</x:formula>
    </x:cfRule>
    <x:cfRule type="expression" dxfId="5" priority="3">
      <x:formula>E4="In Progress"</x:formula>
    </x:cfRule>
  </x:conditionalFormatting>
  <x:dataValidations count="1">
    <x:dataValidation type="list" sqref="E4:E32">
      <x:formula1>"Not Started,In Progress,Validated,Needs Review"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28" hidden="0" customWidth="1"/>
    <x:col min="3" max="3" width="54" hidden="0" customWidth="1"/>
    <x:col min="4" max="4" width="28" hidden="0" customWidth="1"/>
    <x:col min="5" max="5" width="18" hidden="0" customWidth="1"/>
    <x:col min="6" max="6" width="18" hidden="0" customWidth="1"/>
  </x:cols>
  <x:sheetData>
    <x:row r="1" ht="28" customHeight="1">
      <x:c r="A1" s="6" t="str">
        <x:v>Grain, Dimension Roles and Fact-Type Classification</x:v>
      </x:c>
      <x:c r="B1" s="6"/>
      <x:c r="C1" s="6"/>
      <x:c r="D1" s="6"/>
      <x:c r="E1" s="6"/>
      <x:c r="F1" s="6"/>
    </x:row>
    <x:row r="3" ht="32" customHeight="1">
      <x:c r="A3" s="16" t="str">
        <x:v>Object</x:v>
      </x:c>
      <x:c r="B3" s="16" t="str">
        <x:v>SemanticRole/FactType</x:v>
      </x:c>
      <x:c r="C3" s="16" t="str">
        <x:v>DeclaredGrain</x:v>
      </x:c>
      <x:c r="D3" s="16" t="str">
        <x:v>Key/Identifier</x:v>
      </x:c>
      <x:c r="E3" s="16" t="str">
        <x:v>ExpectedRows</x:v>
      </x:c>
      <x:c r="F3" s="16" t="str">
        <x:v>Status</x:v>
      </x:c>
    </x:row>
    <x:row r="4">
      <x:c r="A4" s="24" t="str">
        <x:v>Model_DimRegion</x:v>
      </x:c>
      <x:c r="B4" s="24" t="str">
        <x:v>Dimension</x:v>
      </x:c>
      <x:c r="C4" s="24" t="str">
        <x:v>One region</x:v>
      </x:c>
      <x:c r="D4" s="24" t="str">
        <x:v>RegionKey</x:v>
      </x:c>
      <x:c r="E4" s="24" t="str">
        <x:v>4</x:v>
      </x:c>
      <x:c r="F4" s="24" t="str">
        <x:v>Not Started</x:v>
      </x:c>
    </x:row>
    <x:row r="5">
      <x:c r="A5" s="24" t="str">
        <x:v>Model_DimTechnology</x:v>
      </x:c>
      <x:c r="B5" s="24" t="str">
        <x:v>Dimension</x:v>
      </x:c>
      <x:c r="C5" s="24" t="str">
        <x:v>One technology code</x:v>
      </x:c>
      <x:c r="D5" s="24" t="str">
        <x:v>TechnologyKey</x:v>
      </x:c>
      <x:c r="E5" s="24" t="str">
        <x:v>9</x:v>
      </x:c>
      <x:c r="F5" s="24" t="str">
        <x:v>Not Started</x:v>
      </x:c>
    </x:row>
    <x:row r="6">
      <x:c r="A6" s="24" t="str">
        <x:v>Model_DimPlantCurrent</x:v>
      </x:c>
      <x:c r="B6" s="24" t="str">
        <x:v>Dimension</x:v>
      </x:c>
      <x:c r="C6" s="24" t="str">
        <x:v>One current plant</x:v>
      </x:c>
      <x:c r="D6" s="24" t="str">
        <x:v>PlantKey</x:v>
      </x:c>
      <x:c r="E6" s="24" t="str">
        <x:v>12</x:v>
      </x:c>
      <x:c r="F6" s="24" t="str">
        <x:v>Not Started</x:v>
      </x:c>
    </x:row>
    <x:row r="7">
      <x:c r="A7" s="24" t="str">
        <x:v>Model_DimPlantHistory</x:v>
      </x:c>
      <x:c r="B7" s="24" t="str">
        <x:v>Dimension (SCD2)</x:v>
      </x:c>
      <x:c r="C7" s="24" t="str">
        <x:v>One historical PlantSK version</x:v>
      </x:c>
      <x:c r="D7" s="24" t="str">
        <x:v>PlantSK</x:v>
      </x:c>
      <x:c r="E7" s="24" t="str">
        <x:v>17</x:v>
      </x:c>
      <x:c r="F7" s="24" t="str">
        <x:v>Not Started</x:v>
      </x:c>
    </x:row>
    <x:row r="8">
      <x:c r="A8" s="24" t="str">
        <x:v>Model_DimDate_Source</x:v>
      </x:c>
      <x:c r="B8" s="24" t="str">
        <x:v>Dimension</x:v>
      </x:c>
      <x:c r="C8" s="24" t="str">
        <x:v>One calendar date</x:v>
      </x:c>
      <x:c r="D8" s="24" t="str">
        <x:v>DateKey</x:v>
      </x:c>
      <x:c r="E8" s="24" t="str">
        <x:v>1096</x:v>
      </x:c>
      <x:c r="F8" s="24" t="str">
        <x:v>Not Started</x:v>
      </x:c>
    </x:row>
    <x:row r="9">
      <x:c r="A9" s="24" t="str">
        <x:v>Model_DimTime_Source</x:v>
      </x:c>
      <x:c r="B9" s="24" t="str">
        <x:v>Dimension</x:v>
      </x:c>
      <x:c r="C9" s="24" t="str">
        <x:v>One quarter-hour time member</x:v>
      </x:c>
      <x:c r="D9" s="24" t="str">
        <x:v>TimeKey</x:v>
      </x:c>
      <x:c r="E9" s="24" t="str">
        <x:v>96</x:v>
      </x:c>
      <x:c r="F9" s="24" t="str">
        <x:v>Not Started</x:v>
      </x:c>
    </x:row>
    <x:row r="10">
      <x:c r="A10" s="24" t="str">
        <x:v>Model_DimEquipment</x:v>
      </x:c>
      <x:c r="B10" s="24" t="str">
        <x:v>Dimension</x:v>
      </x:c>
      <x:c r="C10" s="24" t="str">
        <x:v>One equipment item</x:v>
      </x:c>
      <x:c r="D10" s="24" t="str">
        <x:v>EquipmentKey</x:v>
      </x:c>
      <x:c r="E10" s="24" t="str">
        <x:v>36</x:v>
      </x:c>
      <x:c r="F10" s="24" t="str">
        <x:v>Not Started</x:v>
      </x:c>
    </x:row>
    <x:row r="11">
      <x:c r="A11" s="24" t="str">
        <x:v>Model_DimSupplier</x:v>
      </x:c>
      <x:c r="B11" s="24" t="str">
        <x:v>Dimension</x:v>
      </x:c>
      <x:c r="C11" s="24" t="str">
        <x:v>One supplier</x:v>
      </x:c>
      <x:c r="D11" s="24" t="str">
        <x:v>SupplierKey</x:v>
      </x:c>
      <x:c r="E11" s="24" t="str">
        <x:v>12</x:v>
      </x:c>
      <x:c r="F11" s="24" t="str">
        <x:v>Not Started</x:v>
      </x:c>
    </x:row>
    <x:row r="12">
      <x:c r="A12" s="24" t="str">
        <x:v>Model_DimContract</x:v>
      </x:c>
      <x:c r="B12" s="24" t="str">
        <x:v>Dimension</x:v>
      </x:c>
      <x:c r="C12" s="24" t="str">
        <x:v>One contract</x:v>
      </x:c>
      <x:c r="D12" s="24" t="str">
        <x:v>ContractKey</x:v>
      </x:c>
      <x:c r="E12" s="24" t="str">
        <x:v>8</x:v>
      </x:c>
      <x:c r="F12" s="24" t="str">
        <x:v>Not Started</x:v>
      </x:c>
    </x:row>
    <x:row r="13">
      <x:c r="A13" s="24" t="str">
        <x:v>Model_DimMaintenanceFlags</x:v>
      </x:c>
      <x:c r="B13" s="24" t="str">
        <x:v>Junk dimension</x:v>
      </x:c>
      <x:c r="C13" s="24" t="str">
        <x:v>One flag combination</x:v>
      </x:c>
      <x:c r="D13" s="24" t="str">
        <x:v>MaintenanceFlagsKey</x:v>
      </x:c>
      <x:c r="E13" s="24" t="str">
        <x:v>8</x:v>
      </x:c>
      <x:c r="F13" s="24" t="str">
        <x:v>Not Started</x:v>
      </x:c>
    </x:row>
    <x:row r="14">
      <x:c r="A14" s="24" t="str">
        <x:v>Model_FactIntervalGeneration</x:v>
      </x:c>
      <x:c r="B14" s="24" t="str">
        <x:v>Transactional / interval</x:v>
      </x:c>
      <x:c r="C14" s="24" t="str">
        <x:v>One generating plant per 15-minute reading</x:v>
      </x:c>
      <x:c r="D14" s="24" t="str">
        <x:v>See source/model key</x:v>
      </x:c>
      <x:c r="E14" s="24" t="str">
        <x:v>500000</x:v>
      </x:c>
      <x:c r="F14" s="24" t="str">
        <x:v>Not Started</x:v>
      </x:c>
    </x:row>
    <x:row r="15">
      <x:c r="A15" s="24" t="str">
        <x:v>Model_FactBatteryDailySnapshot</x:v>
      </x:c>
      <x:c r="B15" s="24" t="str">
        <x:v>Periodic snapshot</x:v>
      </x:c>
      <x:c r="C15" s="24" t="str">
        <x:v>One storage asset per date</x:v>
      </x:c>
      <x:c r="D15" s="24" t="str">
        <x:v>See source/model key</x:v>
      </x:c>
      <x:c r="E15" s="24" t="str">
        <x:v>522</x:v>
      </x:c>
      <x:c r="F15" s="24" t="str">
        <x:v>Not Started</x:v>
      </x:c>
    </x:row>
    <x:row r="16">
      <x:c r="A16" s="24" t="str">
        <x:v>Model_FactMaintenanceWorkOrder</x:v>
      </x:c>
      <x:c r="B16" s="24" t="str">
        <x:v>Accumulating snapshot</x:v>
      </x:c>
      <x:c r="C16" s="24" t="str">
        <x:v>One work-order lifecycle</x:v>
      </x:c>
      <x:c r="D16" s="24" t="str">
        <x:v>See source/model key</x:v>
      </x:c>
      <x:c r="E16" s="24" t="str">
        <x:v>23</x:v>
      </x:c>
      <x:c r="F16" s="24" t="str">
        <x:v>Not Started</x:v>
      </x:c>
    </x:row>
    <x:row r="17">
      <x:c r="A17" s="24" t="str">
        <x:v>Model_FactInspectionSchedule</x:v>
      </x:c>
      <x:c r="B17" s="24" t="str">
        <x:v>Factless fact</x:v>
      </x:c>
      <x:c r="C17" s="24" t="str">
        <x:v>One scheduled inspection event</x:v>
      </x:c>
      <x:c r="D17" s="24" t="str">
        <x:v>See source/model key</x:v>
      </x:c>
      <x:c r="E17" s="24" t="str">
        <x:v>36</x:v>
      </x:c>
      <x:c r="F17" s="24" t="str">
        <x:v>Not Started</x:v>
      </x:c>
    </x:row>
  </x:sheetData>
  <x:mergeCells>
    <x:mergeCell ref="A1:F1"/>
  </x:mergeCells>
  <x:conditionalFormatting sqref="F4:F17">
    <x:cfRule type="expression" dxfId="6" priority="1">
      <x:formula>F4="Validated"</x:formula>
    </x:cfRule>
    <x:cfRule type="expression" dxfId="7" priority="2">
      <x:formula>F4="Needs Review"</x:formula>
    </x:cfRule>
    <x:cfRule type="expression" dxfId="8" priority="3">
      <x:formula>F4="In Progress"</x:formula>
    </x:cfRule>
  </x:conditionalFormatting>
  <x:dataValidations count="1">
    <x:dataValidation type="list" sqref="F4:F17">
      <x:formula1>"Not Started,In Progress,Validated,Needs Review"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14" hidden="0" customWidth="1"/>
    <x:col min="4" max="4" width="18" hidden="0" customWidth="1"/>
    <x:col min="5" max="5" width="28" hidden="0" customWidth="1"/>
    <x:col min="6" max="6" width="50" hidden="0" customWidth="1"/>
    <x:col min="7" max="7" width="18" hidden="0" customWidth="1"/>
  </x:cols>
  <x:sheetData>
    <x:row r="1" ht="28" customHeight="1">
      <x:c r="A1" s="6" t="str">
        <x:v>One-Side Key Uniqueness Audit</x:v>
      </x:c>
      <x:c r="B1" s="6"/>
      <x:c r="C1" s="6"/>
      <x:c r="D1" s="6"/>
      <x:c r="E1" s="6"/>
      <x:c r="F1" s="6"/>
      <x:c r="G1" s="6"/>
    </x:row>
    <x:row r="3" ht="32" customHeight="1">
      <x:c r="A3" s="16" t="str">
        <x:v>Object</x:v>
      </x:c>
      <x:c r="B3" s="16" t="str">
        <x:v>Key</x:v>
      </x:c>
      <x:c r="C3" s="16" t="str">
        <x:v>Rows</x:v>
      </x:c>
      <x:c r="D3" s="16" t="str">
        <x:v>DistinctKeys</x:v>
      </x:c>
      <x:c r="E3" s="16" t="str">
        <x:v>ExpectedDuplicateRowsBeyondFirst</x:v>
      </x:c>
      <x:c r="F3" s="16" t="str">
        <x:v>LearnerFinding</x:v>
      </x:c>
      <x:c r="G3" s="16" t="str">
        <x:v>Status</x:v>
      </x:c>
    </x:row>
    <x:row r="4">
      <x:c r="A4" s="24" t="str">
        <x:v>Model_DimRegion</x:v>
      </x:c>
      <x:c r="B4" s="24" t="str">
        <x:v>RegionKey</x:v>
      </x:c>
      <x:c r="C4" s="24" t="str">
        <x:v>4</x:v>
      </x:c>
      <x:c r="D4" s="24" t="str">
        <x:v>4</x:v>
      </x:c>
      <x:c r="E4" s="24" t="str">
        <x:v>0</x:v>
      </x:c>
      <x:c r="F4" s="24" t="str"/>
      <x:c r="G4" s="24" t="str">
        <x:v>Not Started</x:v>
      </x:c>
    </x:row>
    <x:row r="5">
      <x:c r="A5" s="24" t="str">
        <x:v>Model_DimTechnology</x:v>
      </x:c>
      <x:c r="B5" s="24" t="str">
        <x:v>TechnologyKey</x:v>
      </x:c>
      <x:c r="C5" s="24" t="str">
        <x:v>9</x:v>
      </x:c>
      <x:c r="D5" s="24" t="str">
        <x:v>9</x:v>
      </x:c>
      <x:c r="E5" s="24" t="str">
        <x:v>0</x:v>
      </x:c>
      <x:c r="F5" s="24" t="str"/>
      <x:c r="G5" s="24" t="str">
        <x:v>Not Started</x:v>
      </x:c>
    </x:row>
    <x:row r="6">
      <x:c r="A6" s="24" t="str">
        <x:v>Model_DimPlantCurrent</x:v>
      </x:c>
      <x:c r="B6" s="24" t="str">
        <x:v>PlantKey</x:v>
      </x:c>
      <x:c r="C6" s="24" t="str">
        <x:v>12</x:v>
      </x:c>
      <x:c r="D6" s="24" t="str">
        <x:v>12</x:v>
      </x:c>
      <x:c r="E6" s="24" t="str">
        <x:v>0</x:v>
      </x:c>
      <x:c r="F6" s="24" t="str"/>
      <x:c r="G6" s="24" t="str">
        <x:v>Not Started</x:v>
      </x:c>
    </x:row>
    <x:row r="7">
      <x:c r="A7" s="24" t="str">
        <x:v>Model_DimPlantCurrent</x:v>
      </x:c>
      <x:c r="B7" s="24" t="str">
        <x:v>PlantID</x:v>
      </x:c>
      <x:c r="C7" s="24" t="str">
        <x:v>12</x:v>
      </x:c>
      <x:c r="D7" s="24" t="str">
        <x:v>12</x:v>
      </x:c>
      <x:c r="E7" s="24" t="str">
        <x:v>0</x:v>
      </x:c>
      <x:c r="F7" s="24" t="str"/>
      <x:c r="G7" s="24" t="str">
        <x:v>Not Started</x:v>
      </x:c>
    </x:row>
    <x:row r="8">
      <x:c r="A8" s="24" t="str">
        <x:v>Model_DimPlantHistory</x:v>
      </x:c>
      <x:c r="B8" s="24" t="str">
        <x:v>PlantSK</x:v>
      </x:c>
      <x:c r="C8" s="24" t="str">
        <x:v>17</x:v>
      </x:c>
      <x:c r="D8" s="24" t="str">
        <x:v>17</x:v>
      </x:c>
      <x:c r="E8" s="24" t="str">
        <x:v>0</x:v>
      </x:c>
      <x:c r="F8" s="24" t="str"/>
      <x:c r="G8" s="24" t="str">
        <x:v>Not Started</x:v>
      </x:c>
    </x:row>
    <x:row r="9">
      <x:c r="A9" s="24" t="str">
        <x:v>Model_DimDate_Source</x:v>
      </x:c>
      <x:c r="B9" s="24" t="str">
        <x:v>DateKey</x:v>
      </x:c>
      <x:c r="C9" s="24" t="str">
        <x:v>1096</x:v>
      </x:c>
      <x:c r="D9" s="24" t="str">
        <x:v>1096</x:v>
      </x:c>
      <x:c r="E9" s="24" t="str">
        <x:v>0</x:v>
      </x:c>
      <x:c r="F9" s="24" t="str"/>
      <x:c r="G9" s="24" t="str">
        <x:v>Not Started</x:v>
      </x:c>
    </x:row>
    <x:row r="10">
      <x:c r="A10" s="24" t="str">
        <x:v>Model_DimTime_Source</x:v>
      </x:c>
      <x:c r="B10" s="24" t="str">
        <x:v>TimeKey</x:v>
      </x:c>
      <x:c r="C10" s="24" t="str">
        <x:v>96</x:v>
      </x:c>
      <x:c r="D10" s="24" t="str">
        <x:v>96</x:v>
      </x:c>
      <x:c r="E10" s="24" t="str">
        <x:v>0</x:v>
      </x:c>
      <x:c r="F10" s="24" t="str"/>
      <x:c r="G10" s="24" t="str">
        <x:v>Not Started</x:v>
      </x:c>
    </x:row>
    <x:row r="11">
      <x:c r="A11" s="24" t="str">
        <x:v>Model_DimEquipment</x:v>
      </x:c>
      <x:c r="B11" s="24" t="str">
        <x:v>EquipmentKey</x:v>
      </x:c>
      <x:c r="C11" s="24" t="str">
        <x:v>36</x:v>
      </x:c>
      <x:c r="D11" s="24" t="str">
        <x:v>36</x:v>
      </x:c>
      <x:c r="E11" s="24" t="str">
        <x:v>0</x:v>
      </x:c>
      <x:c r="F11" s="24" t="str"/>
      <x:c r="G11" s="24" t="str">
        <x:v>Not Started</x:v>
      </x:c>
    </x:row>
    <x:row r="12">
      <x:c r="A12" s="24" t="str">
        <x:v>Model_DimSupplier</x:v>
      </x:c>
      <x:c r="B12" s="24" t="str">
        <x:v>SupplierKey</x:v>
      </x:c>
      <x:c r="C12" s="24" t="str">
        <x:v>12</x:v>
      </x:c>
      <x:c r="D12" s="24" t="str">
        <x:v>12</x:v>
      </x:c>
      <x:c r="E12" s="24" t="str">
        <x:v>0</x:v>
      </x:c>
      <x:c r="F12" s="24" t="str"/>
      <x:c r="G12" s="24" t="str">
        <x:v>Not Started</x:v>
      </x:c>
    </x:row>
    <x:row r="13">
      <x:c r="A13" s="24" t="str">
        <x:v>Model_DimContract</x:v>
      </x:c>
      <x:c r="B13" s="24" t="str">
        <x:v>ContractKey</x:v>
      </x:c>
      <x:c r="C13" s="24" t="str">
        <x:v>8</x:v>
      </x:c>
      <x:c r="D13" s="24" t="str">
        <x:v>8</x:v>
      </x:c>
      <x:c r="E13" s="24" t="str">
        <x:v>0</x:v>
      </x:c>
      <x:c r="F13" s="24" t="str"/>
      <x:c r="G13" s="24" t="str">
        <x:v>Not Started</x:v>
      </x:c>
    </x:row>
    <x:row r="14">
      <x:c r="A14" s="24" t="str">
        <x:v>Duplicate_DimPlant.csv</x:v>
      </x:c>
      <x:c r="B14" s="24" t="str">
        <x:v>PlantKey</x:v>
      </x:c>
      <x:c r="C14" s="24" t="str">
        <x:v>13</x:v>
      </x:c>
      <x:c r="D14" s="24" t="str">
        <x:v>12</x:v>
      </x:c>
      <x:c r="E14" s="24" t="str">
        <x:v>1</x:v>
      </x:c>
      <x:c r="F14" s="24" t="str"/>
      <x:c r="G14" s="24" t="str">
        <x:v>Not Started</x:v>
      </x:c>
    </x:row>
  </x:sheetData>
  <x:mergeCells>
    <x:mergeCell ref="A1:G1"/>
  </x:mergeCells>
  <x:conditionalFormatting sqref="G4:G14">
    <x:cfRule type="expression" dxfId="9" priority="1">
      <x:formula>G4="Validated"</x:formula>
    </x:cfRule>
    <x:cfRule type="expression" dxfId="10" priority="2">
      <x:formula>G4="Needs Review"</x:formula>
    </x:cfRule>
    <x:cfRule type="expression" dxfId="11" priority="3">
      <x:formula>G4="In Progress"</x:formula>
    </x:cfRule>
  </x:conditionalFormatting>
  <x:dataValidations count="1">
    <x:dataValidation type="list" sqref="G4:G14">
      <x:formula1>"Not Started,In Progress,Validated,Needs Review"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24" hidden="0" customWidth="1"/>
    <x:col min="3" max="3" width="58" hidden="0" customWidth="1"/>
    <x:col min="4" max="4" width="64" hidden="0" customWidth="1"/>
    <x:col min="5" max="5" width="52" hidden="0" customWidth="1"/>
    <x:col min="6" max="6" width="18" hidden="0" customWidth="1"/>
  </x:cols>
  <x:sheetData>
    <x:row r="1" ht="28" customHeight="1">
      <x:c r="A1" s="6" t="str">
        <x:v>Core Star Schema Design Record</x:v>
      </x:c>
      <x:c r="B1" s="6"/>
      <x:c r="C1" s="6"/>
      <x:c r="D1" s="6"/>
      <x:c r="E1" s="6"/>
      <x:c r="F1" s="6"/>
    </x:row>
    <x:row r="3" ht="32" customHeight="1">
      <x:c r="A3" s="16" t="str">
        <x:v>Table</x:v>
      </x:c>
      <x:c r="B3" s="16" t="str">
        <x:v>Role</x:v>
      </x:c>
      <x:c r="C3" s="16" t="str">
        <x:v>RelatedSubjects</x:v>
      </x:c>
      <x:c r="D3" s="16" t="str">
        <x:v>DesignIntent</x:v>
      </x:c>
      <x:c r="E3" s="16" t="str">
        <x:v>LearnerDecision/DiagramNote</x:v>
      </x:c>
      <x:c r="F3" s="16" t="str">
        <x:v>Status</x:v>
      </x:c>
    </x:row>
    <x:row r="4">
      <x:c r="A4" s="24" t="str">
        <x:v>DimPlant</x:v>
      </x:c>
      <x:c r="B4" s="24" t="str">
        <x:v>Dimension</x:v>
      </x:c>
      <x:c r="C4" s="24" t="str">
        <x:v>FactIntervalGeneration; FactBatteryDailySnapshot; FactMaintenanceWorkOrder; FactInspectionSchedule; FactGenerationForecast; FactHydroOperatingContext</x:v>
      </x:c>
      <x:c r="D4" s="24" t="str">
        <x:v>1:* from PlantKey</x:v>
      </x:c>
      <x:c r="E4" s="24" t="str"/>
      <x:c r="F4" s="24" t="str">
        <x:v>Not Started</x:v>
      </x:c>
    </x:row>
    <x:row r="5">
      <x:c r="A5" s="24" t="str">
        <x:v>DimDate</x:v>
      </x:c>
      <x:c r="B5" s="24" t="str">
        <x:v>Conformed dimension</x:v>
      </x:c>
      <x:c r="C5" s="24" t="str">
        <x:v>Generation; maintenance; inspections; forecasts; targets; hydro</x:v>
      </x:c>
      <x:c r="D5" s="24" t="str">
        <x:v>Active primary date + inactive role dates</x:v>
      </x:c>
      <x:c r="E5" s="24" t="str"/>
      <x:c r="F5" s="24" t="str">
        <x:v>Not Started</x:v>
      </x:c>
    </x:row>
    <x:row r="6">
      <x:c r="A6" s="24" t="str">
        <x:v>DimTime</x:v>
      </x:c>
      <x:c r="B6" s="24" t="str">
        <x:v>Dimension</x:v>
      </x:c>
      <x:c r="C6" s="24" t="str">
        <x:v>FactIntervalGeneration</x:v>
      </x:c>
      <x:c r="D6" s="24" t="str">
        <x:v>1:* TimeKey</x:v>
      </x:c>
      <x:c r="E6" s="24" t="str"/>
      <x:c r="F6" s="24" t="str">
        <x:v>Not Started</x:v>
      </x:c>
    </x:row>
    <x:row r="7">
      <x:c r="A7" s="24" t="str">
        <x:v>DimRegion</x:v>
      </x:c>
      <x:c r="B7" s="24" t="str">
        <x:v>Conformed dimension</x:v>
      </x:c>
      <x:c r="C7" s="24" t="str">
        <x:v>DimPlant; FactRegionalTargetMonthly</x:v>
      </x:c>
      <x:c r="D7" s="24" t="str">
        <x:v>Region filters actuals and targets without fact-to-fact join</x:v>
      </x:c>
      <x:c r="E7" s="24" t="str"/>
      <x:c r="F7" s="24" t="str">
        <x:v>Not Started</x:v>
      </x:c>
    </x:row>
    <x:row r="8">
      <x:c r="A8" s="24" t="str">
        <x:v>DimTechnology</x:v>
      </x:c>
      <x:c r="B8" s="24" t="str">
        <x:v>Conformed dimension</x:v>
      </x:c>
      <x:c r="C8" s="24" t="str">
        <x:v>DimPlant / equipment context</x:v>
      </x:c>
      <x:c r="D8" s="24" t="str">
        <x:v>Technology filters via clean star path</x:v>
      </x:c>
      <x:c r="E8" s="24" t="str"/>
      <x:c r="F8" s="24" t="str">
        <x:v>Not Started</x:v>
      </x:c>
    </x:row>
    <x:row r="9">
      <x:c r="A9" s="24" t="str">
        <x:v>DimMaintenanceFlags</x:v>
      </x:c>
      <x:c r="B9" s="24" t="str">
        <x:v>Junk dimension</x:v>
      </x:c>
      <x:c r="C9" s="24" t="str">
        <x:v>FactMaintenanceWorkOrder</x:v>
      </x:c>
      <x:c r="D9" s="24" t="str">
        <x:v>1:* MaintenanceFlagsKey</x:v>
      </x:c>
      <x:c r="E9" s="24" t="str"/>
      <x:c r="F9" s="24" t="str">
        <x:v>Not Started</x:v>
      </x:c>
    </x:row>
  </x:sheetData>
  <x:mergeCells>
    <x:mergeCell ref="A1:F1"/>
  </x:mergeCells>
  <x:conditionalFormatting sqref="F4:F9">
    <x:cfRule type="expression" dxfId="12" priority="1">
      <x:formula>F4="Validated"</x:formula>
    </x:cfRule>
    <x:cfRule type="expression" dxfId="13" priority="2">
      <x:formula>F4="Needs Review"</x:formula>
    </x:cfRule>
    <x:cfRule type="expression" dxfId="14" priority="3">
      <x:formula>F4="In Progress"</x:formula>
    </x:cfRule>
  </x:conditionalFormatting>
  <x:dataValidations count="1">
    <x:dataValidation type="list" sqref="F4:F9">
      <x:formula1>"Not Started,In Progress,Validated,Needs Review"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40" hidden="0" customWidth="1"/>
    <x:col min="3" max="3" width="20" hidden="0" customWidth="1"/>
    <x:col min="4" max="4" width="28" hidden="0" customWidth="1"/>
    <x:col min="5" max="5" width="18" hidden="0" customWidth="1"/>
    <x:col min="6" max="6" width="60" hidden="0" customWidth="1"/>
    <x:col min="7" max="7" width="56" hidden="0" customWidth="1"/>
    <x:col min="8" max="8" width="18" hidden="0" customWidth="1"/>
  </x:cols>
  <x:sheetData>
    <x:row r="1" ht="28" customHeight="1">
      <x:c r="A1" s="6" t="str">
        <x:v>Relationship Creation and Validation Log</x:v>
      </x:c>
      <x:c r="B1" s="6"/>
      <x:c r="C1" s="6"/>
      <x:c r="D1" s="6"/>
      <x:c r="E1" s="6"/>
      <x:c r="F1" s="6"/>
      <x:c r="G1" s="6"/>
      <x:c r="H1" s="6"/>
    </x:row>
    <x:row r="3" ht="32" customHeight="1">
      <x:c r="A3" s="16" t="str">
        <x:v>From</x:v>
      </x:c>
      <x:c r="B3" s="16" t="str">
        <x:v>To</x:v>
      </x:c>
      <x:c r="C3" s="16" t="str">
        <x:v>ExpectedCardinality</x:v>
      </x:c>
      <x:c r="D3" s="16" t="str">
        <x:v>ExpectedDirection</x:v>
      </x:c>
      <x:c r="E3" s="16" t="str">
        <x:v>ExpectedActive</x:v>
      </x:c>
      <x:c r="F3" s="16" t="str">
        <x:v>Purpose</x:v>
      </x:c>
      <x:c r="G3" s="16" t="str">
        <x:v>LearnerEvidence</x:v>
      </x:c>
      <x:c r="H3" s="16" t="str">
        <x:v>Status</x:v>
      </x:c>
    </x:row>
    <x:row r="4">
      <x:c r="A4" s="24" t="str">
        <x:v>DimRegion.RegionKey</x:v>
      </x:c>
      <x:c r="B4" s="24" t="str">
        <x:v>DimPlant.RegionKey</x:v>
      </x:c>
      <x:c r="C4" s="24" t="str">
        <x:v>1:*</x:v>
      </x:c>
      <x:c r="D4" s="24" t="str">
        <x:v>Single</x:v>
      </x:c>
      <x:c r="E4" s="24" t="str">
        <x:v>Yes</x:v>
      </x:c>
      <x:c r="F4" s="24" t="str">
        <x:v>Conformed regional filtering through plant.</x:v>
      </x:c>
      <x:c r="G4" s="24" t="str"/>
      <x:c r="H4" s="24" t="str">
        <x:v>Not Started</x:v>
      </x:c>
    </x:row>
    <x:row r="5">
      <x:c r="A5" s="24" t="str">
        <x:v>DimTechnology.TechnologyKey</x:v>
      </x:c>
      <x:c r="B5" s="24" t="str">
        <x:v>DimPlant.TechnologyKey</x:v>
      </x:c>
      <x:c r="C5" s="24" t="str">
        <x:v>1:*</x:v>
      </x:c>
      <x:c r="D5" s="24" t="str">
        <x:v>Single</x:v>
      </x:c>
      <x:c r="E5" s="24" t="str">
        <x:v>Yes</x:v>
      </x:c>
      <x:c r="F5" s="24" t="str">
        <x:v>Technology filtering.</x:v>
      </x:c>
      <x:c r="G5" s="24" t="str"/>
      <x:c r="H5" s="24" t="str">
        <x:v>Not Started</x:v>
      </x:c>
    </x:row>
    <x:row r="6">
      <x:c r="A6" s="24" t="str">
        <x:v>DimPlant.PlantKey</x:v>
      </x:c>
      <x:c r="B6" s="24" t="str">
        <x:v>FactIntervalGeneration.PlantKey</x:v>
      </x:c>
      <x:c r="C6" s="24" t="str">
        <x:v>1:*</x:v>
      </x:c>
      <x:c r="D6" s="24" t="str">
        <x:v>Single</x:v>
      </x:c>
      <x:c r="E6" s="24" t="str">
        <x:v>Yes</x:v>
      </x:c>
      <x:c r="F6" s="24" t="str">
        <x:v>Primary generation star relationship.</x:v>
      </x:c>
      <x:c r="G6" s="24" t="str"/>
      <x:c r="H6" s="24" t="str">
        <x:v>Not Started</x:v>
      </x:c>
    </x:row>
    <x:row r="7">
      <x:c r="A7" s="24" t="str">
        <x:v>DimDate.DateKey</x:v>
      </x:c>
      <x:c r="B7" s="24" t="str">
        <x:v>FactIntervalGeneration.DateKey</x:v>
      </x:c>
      <x:c r="C7" s="24" t="str">
        <x:v>1:*</x:v>
      </x:c>
      <x:c r="D7" s="24" t="str">
        <x:v>Single</x:v>
      </x:c>
      <x:c r="E7" s="24" t="str">
        <x:v>Yes</x:v>
      </x:c>
      <x:c r="F7" s="24" t="str">
        <x:v>Generation date role.</x:v>
      </x:c>
      <x:c r="G7" s="24" t="str"/>
      <x:c r="H7" s="24" t="str">
        <x:v>Not Started</x:v>
      </x:c>
    </x:row>
    <x:row r="8">
      <x:c r="A8" s="24" t="str">
        <x:v>DimTime.TimeKey</x:v>
      </x:c>
      <x:c r="B8" s="24" t="str">
        <x:v>FactIntervalGeneration.TimeKey</x:v>
      </x:c>
      <x:c r="C8" s="24" t="str">
        <x:v>1:*</x:v>
      </x:c>
      <x:c r="D8" s="24" t="str">
        <x:v>Single</x:v>
      </x:c>
      <x:c r="E8" s="24" t="str">
        <x:v>Yes</x:v>
      </x:c>
      <x:c r="F8" s="24" t="str">
        <x:v>Interval time-of-day role.</x:v>
      </x:c>
      <x:c r="G8" s="24" t="str"/>
      <x:c r="H8" s="24" t="str">
        <x:v>Not Started</x:v>
      </x:c>
    </x:row>
    <x:row r="9">
      <x:c r="A9" s="24" t="str">
        <x:v>DimDate.DateKey</x:v>
      </x:c>
      <x:c r="B9" s="24" t="str">
        <x:v>FactMaintenanceWorkOrder.RaisedDateKey</x:v>
      </x:c>
      <x:c r="C9" s="24" t="str">
        <x:v>1:*</x:v>
      </x:c>
      <x:c r="D9" s="24" t="str">
        <x:v>Single</x:v>
      </x:c>
      <x:c r="E9" s="24" t="str">
        <x:v>Yes</x:v>
      </x:c>
      <x:c r="F9" s="24" t="str">
        <x:v>Primary maintenance date role.</x:v>
      </x:c>
      <x:c r="G9" s="24" t="str"/>
      <x:c r="H9" s="24" t="str">
        <x:v>Not Started</x:v>
      </x:c>
    </x:row>
    <x:row r="10">
      <x:c r="A10" s="24" t="str">
        <x:v>DimDate.DateKey</x:v>
      </x:c>
      <x:c r="B10" s="24" t="str">
        <x:v>FactMaintenanceWorkOrder.StartDateKey</x:v>
      </x:c>
      <x:c r="C10" s="24" t="str">
        <x:v>1:*</x:v>
      </x:c>
      <x:c r="D10" s="24" t="str">
        <x:v>Single</x:v>
      </x:c>
      <x:c r="E10" s="24" t="str">
        <x:v>No</x:v>
      </x:c>
      <x:c r="F10" s="24" t="str">
        <x:v>Inactive role-playing start-date path.</x:v>
      </x:c>
      <x:c r="G10" s="24" t="str"/>
      <x:c r="H10" s="24" t="str">
        <x:v>Not Started</x:v>
      </x:c>
    </x:row>
    <x:row r="11">
      <x:c r="A11" s="24" t="str">
        <x:v>DimDate.DateKey</x:v>
      </x:c>
      <x:c r="B11" s="24" t="str">
        <x:v>FactMaintenanceWorkOrder.ClosedDateKey</x:v>
      </x:c>
      <x:c r="C11" s="24" t="str">
        <x:v>1:*</x:v>
      </x:c>
      <x:c r="D11" s="24" t="str">
        <x:v>Single</x:v>
      </x:c>
      <x:c r="E11" s="24" t="str">
        <x:v>No</x:v>
      </x:c>
      <x:c r="F11" s="24" t="str">
        <x:v>Inactive role-playing closed-date path.</x:v>
      </x:c>
      <x:c r="G11" s="24" t="str"/>
      <x:c r="H11" s="24" t="str">
        <x:v>Not Started</x:v>
      </x:c>
    </x:row>
    <x:row r="12">
      <x:c r="A12" s="24" t="str">
        <x:v>DimDate.DateKey</x:v>
      </x:c>
      <x:c r="B12" s="24" t="str">
        <x:v>FactGenerationForecast.TargetDateKey</x:v>
      </x:c>
      <x:c r="C12" s="24" t="str">
        <x:v>1:*</x:v>
      </x:c>
      <x:c r="D12" s="24" t="str">
        <x:v>Single</x:v>
      </x:c>
      <x:c r="E12" s="24" t="str">
        <x:v>Yes</x:v>
      </x:c>
      <x:c r="F12" s="24" t="str">
        <x:v>Primary forecast target-date role.</x:v>
      </x:c>
      <x:c r="G12" s="24" t="str"/>
      <x:c r="H12" s="24" t="str">
        <x:v>Not Started</x:v>
      </x:c>
    </x:row>
    <x:row r="13">
      <x:c r="A13" s="24" t="str">
        <x:v>DimDate.DateKey</x:v>
      </x:c>
      <x:c r="B13" s="24" t="str">
        <x:v>FactGenerationForecast.IssueDateKey</x:v>
      </x:c>
      <x:c r="C13" s="24" t="str">
        <x:v>1:*</x:v>
      </x:c>
      <x:c r="D13" s="24" t="str">
        <x:v>Single</x:v>
      </x:c>
      <x:c r="E13" s="24" t="str">
        <x:v>No</x:v>
      </x:c>
      <x:c r="F13" s="24" t="str">
        <x:v>Inactive forecast issue-date role.</x:v>
      </x:c>
      <x:c r="G13" s="24" t="str"/>
      <x:c r="H13" s="24" t="str">
        <x:v>Not Started</x:v>
      </x:c>
    </x:row>
    <x:row r="14">
      <x:c r="A14" s="24" t="str">
        <x:v>DimRegion.RegionKey</x:v>
      </x:c>
      <x:c r="B14" s="24" t="str">
        <x:v>FactRegionalTargetMonthly.RegionKey</x:v>
      </x:c>
      <x:c r="C14" s="24" t="str">
        <x:v>1:*</x:v>
      </x:c>
      <x:c r="D14" s="24" t="str">
        <x:v>Single</x:v>
      </x:c>
      <x:c r="E14" s="24" t="str">
        <x:v>Yes</x:v>
      </x:c>
      <x:c r="F14" s="24" t="str">
        <x:v>Mixed-granularity target conformance.</x:v>
      </x:c>
      <x:c r="G14" s="24" t="str"/>
      <x:c r="H14" s="24" t="str">
        <x:v>Not Started</x:v>
      </x:c>
    </x:row>
    <x:row r="15">
      <x:c r="A15" s="24" t="str">
        <x:v>DimDate.DateKey</x:v>
      </x:c>
      <x:c r="B15" s="24" t="str">
        <x:v>FactRegionalTargetMonthly.TargetMonthKey</x:v>
      </x:c>
      <x:c r="C15" s="24" t="str">
        <x:v>1:*</x:v>
      </x:c>
      <x:c r="D15" s="24" t="str">
        <x:v>Single</x:v>
      </x:c>
      <x:c r="E15" s="24" t="str">
        <x:v>Yes</x:v>
      </x:c>
      <x:c r="F15" s="24" t="str">
        <x:v>Monthly target date role; target fact remains monthly grain.</x:v>
      </x:c>
      <x:c r="G15" s="24" t="str"/>
      <x:c r="H15" s="24" t="str">
        <x:v>Not Started</x:v>
      </x:c>
    </x:row>
    <x:row r="16">
      <x:c r="A16" s="24" t="str">
        <x:v>DimPlant.PlantKey</x:v>
      </x:c>
      <x:c r="B16" s="24" t="str">
        <x:v>BridgePlantContract.PlantKey</x:v>
      </x:c>
      <x:c r="C16" s="24" t="str">
        <x:v>1:*</x:v>
      </x:c>
      <x:c r="D16" s="24" t="str">
        <x:v>Single/Both only when justified</x:v>
      </x:c>
      <x:c r="E16" s="24" t="str">
        <x:v>Yes</x:v>
      </x:c>
      <x:c r="F16" s="24" t="str">
        <x:v>Plant-contract bridge.</x:v>
      </x:c>
      <x:c r="G16" s="24" t="str"/>
      <x:c r="H16" s="24" t="str">
        <x:v>Not Started</x:v>
      </x:c>
    </x:row>
    <x:row r="17">
      <x:c r="A17" s="24" t="str">
        <x:v>DimContract.ContractKey</x:v>
      </x:c>
      <x:c r="B17" s="24" t="str">
        <x:v>BridgePlantContract.ContractKey</x:v>
      </x:c>
      <x:c r="C17" s="24" t="str">
        <x:v>1:*</x:v>
      </x:c>
      <x:c r="D17" s="24" t="str">
        <x:v>Single</x:v>
      </x:c>
      <x:c r="E17" s="24" t="str">
        <x:v>Yes</x:v>
      </x:c>
      <x:c r="F17" s="24" t="str">
        <x:v>Contract bridge side.</x:v>
      </x:c>
      <x:c r="G17" s="24" t="str"/>
      <x:c r="H17" s="24" t="str">
        <x:v>Not Started</x:v>
      </x:c>
    </x:row>
    <x:row r="18">
      <x:c r="A18" s="24" t="str">
        <x:v>DimEquipment.EquipmentKey</x:v>
      </x:c>
      <x:c r="B18" s="24" t="str">
        <x:v>BridgeEquipmentSupplier.EquipmentKey</x:v>
      </x:c>
      <x:c r="C18" s="24" t="str">
        <x:v>1:*</x:v>
      </x:c>
      <x:c r="D18" s="24" t="str">
        <x:v>Single/Both only when justified</x:v>
      </x:c>
      <x:c r="E18" s="24" t="str">
        <x:v>Yes</x:v>
      </x:c>
      <x:c r="F18" s="24" t="str">
        <x:v>Equipment-supplier bridge.</x:v>
      </x:c>
      <x:c r="G18" s="24" t="str"/>
      <x:c r="H18" s="24" t="str">
        <x:v>Not Started</x:v>
      </x:c>
    </x:row>
    <x:row r="19">
      <x:c r="A19" s="24" t="str">
        <x:v>DimSupplier.SupplierKey</x:v>
      </x:c>
      <x:c r="B19" s="24" t="str">
        <x:v>BridgeEquipmentSupplier.SupplierKey</x:v>
      </x:c>
      <x:c r="C19" s="24" t="str">
        <x:v>1:*</x:v>
      </x:c>
      <x:c r="D19" s="24" t="str">
        <x:v>Single</x:v>
      </x:c>
      <x:c r="E19" s="24" t="str">
        <x:v>Yes</x:v>
      </x:c>
      <x:c r="F19" s="24" t="str">
        <x:v>Supplier bridge side.</x:v>
      </x:c>
      <x:c r="G19" s="24" t="str"/>
      <x:c r="H19" s="24" t="str">
        <x:v>Not Started</x:v>
      </x:c>
    </x:row>
  </x:sheetData>
  <x:mergeCells>
    <x:mergeCell ref="A1:H1"/>
  </x:mergeCells>
  <x:conditionalFormatting sqref="H4:H19">
    <x:cfRule type="expression" dxfId="15" priority="1">
      <x:formula>H4="Validated"</x:formula>
    </x:cfRule>
    <x:cfRule type="expression" dxfId="16" priority="2">
      <x:formula>H4="Needs Review"</x:formula>
    </x:cfRule>
    <x:cfRule type="expression" dxfId="17" priority="3">
      <x:formula>H4="In Progress"</x:formula>
    </x:cfRule>
  </x:conditionalFormatting>
  <x:dataValidations count="1">
    <x:dataValidation type="list" sqref="H4:H19">
      <x:formula1>"Not Started,In Progress,Validated,Needs Review"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44" hidden="0" customWidth="1"/>
    <x:col min="3" max="3" width="58" hidden="0" customWidth="1"/>
    <x:col min="4" max="4" width="42" hidden="0" customWidth="1"/>
    <x:col min="5" max="5" width="48" hidden="0" customWidth="1"/>
    <x:col min="6" max="6" width="18" hidden="0" customWidth="1"/>
  </x:cols>
  <x:sheetData>
    <x:row r="1" ht="28" customHeight="1">
      <x:c r="A1" s="6" t="str">
        <x:v>Filter Propagation Evidence</x:v>
      </x:c>
      <x:c r="B1" s="6"/>
      <x:c r="C1" s="6"/>
      <x:c r="D1" s="6"/>
      <x:c r="E1" s="6"/>
      <x:c r="F1" s="6"/>
    </x:row>
    <x:row r="3" ht="32" customHeight="1">
      <x:c r="A3" s="16" t="str">
        <x:v>Path</x:v>
      </x:c>
      <x:c r="B3" s="16" t="str">
        <x:v>Test</x:v>
      </x:c>
      <x:c r="C3" s="16" t="str">
        <x:v>ExpectedBehavior</x:v>
      </x:c>
      <x:c r="D3" s="16" t="str">
        <x:v>LearnerObserved</x:v>
      </x:c>
      <x:c r="E3" s="16" t="str">
        <x:v>SQL/VisualEvidence</x:v>
      </x:c>
      <x:c r="F3" s="16" t="str">
        <x:v>Status</x:v>
      </x:c>
    </x:row>
    <x:row r="4">
      <x:c r="A4" s="24" t="str">
        <x:v>Region → Plant → Interval Generation</x:v>
      </x:c>
      <x:c r="B4" s="24" t="str">
        <x:v>Select one RegionName; inspect plant and interval result</x:v>
      </x:c>
      <x:c r="C4" s="24" t="str">
        <x:v>Only plants/facts in the selected region remain</x:v>
      </x:c>
      <x:c r="D4" s="24" t="str"/>
      <x:c r="E4" s="24" t="str"/>
      <x:c r="F4" s="24" t="str">
        <x:v>Not Started</x:v>
      </x:c>
    </x:row>
    <x:row r="5">
      <x:c r="A5" s="24" t="str">
        <x:v>Technology → Plant → Interval Generation</x:v>
      </x:c>
      <x:c r="B5" s="24" t="str">
        <x:v>Select one TechnologyName</x:v>
      </x:c>
      <x:c r="C5" s="24" t="str">
        <x:v>Only matching technology generation remains</x:v>
      </x:c>
      <x:c r="D5" s="24" t="str"/>
      <x:c r="E5" s="24" t="str"/>
      <x:c r="F5" s="24" t="str">
        <x:v>Not Started</x:v>
      </x:c>
    </x:row>
    <x:row r="6">
      <x:c r="A6" s="24" t="str">
        <x:v>Date → Interval Generation</x:v>
      </x:c>
      <x:c r="B6" s="24" t="str">
        <x:v>Filter one date</x:v>
      </x:c>
      <x:c r="C6" s="24" t="str">
        <x:v>Only matching DateKey fact rows remain</x:v>
      </x:c>
      <x:c r="D6" s="24" t="str"/>
      <x:c r="E6" s="24" t="str"/>
      <x:c r="F6" s="24" t="str">
        <x:v>Not Started</x:v>
      </x:c>
    </x:row>
    <x:row r="7">
      <x:c r="A7" s="24" t="str">
        <x:v>Time → Interval Generation</x:v>
      </x:c>
      <x:c r="B7" s="24" t="str">
        <x:v>Filter one quarter-hour</x:v>
      </x:c>
      <x:c r="C7" s="24" t="str">
        <x:v>Only matching TimeKey fact rows remain</x:v>
      </x:c>
      <x:c r="D7" s="24" t="str"/>
      <x:c r="E7" s="24" t="str"/>
      <x:c r="F7" s="24" t="str">
        <x:v>Not Started</x:v>
      </x:c>
    </x:row>
    <x:row r="8">
      <x:c r="A8" s="24" t="str">
        <x:v>Region → Monthly Targets</x:v>
      </x:c>
      <x:c r="B8" s="24" t="str">
        <x:v>Filter one region</x:v>
      </x:c>
      <x:c r="C8" s="24" t="str">
        <x:v>Only that region's target rows remain</x:v>
      </x:c>
      <x:c r="D8" s="24" t="str"/>
      <x:c r="E8" s="24" t="str"/>
      <x:c r="F8" s="24" t="str">
        <x:v>Not Started</x:v>
      </x:c>
    </x:row>
    <x:row r="9">
      <x:c r="A9" s="24" t="str">
        <x:v>Plant → Maintenance</x:v>
      </x:c>
      <x:c r="B9" s="24" t="str">
        <x:v>Filter one plant</x:v>
      </x:c>
      <x:c r="C9" s="24" t="str">
        <x:v>Work orders for the plant remain</x:v>
      </x:c>
      <x:c r="D9" s="24" t="str"/>
      <x:c r="E9" s="24" t="str"/>
      <x:c r="F9" s="24" t="str">
        <x:v>Not Started</x:v>
      </x:c>
    </x:row>
  </x:sheetData>
  <x:mergeCells>
    <x:mergeCell ref="A1:F1"/>
  </x:mergeCells>
  <x:conditionalFormatting sqref="F4:F9">
    <x:cfRule type="expression" dxfId="18" priority="1">
      <x:formula>F4="Validated"</x:formula>
    </x:cfRule>
    <x:cfRule type="expression" dxfId="19" priority="2">
      <x:formula>F4="Needs Review"</x:formula>
    </x:cfRule>
    <x:cfRule type="expression" dxfId="20" priority="3">
      <x:formula>F4="In Progress"</x:formula>
    </x:cfRule>
  </x:conditionalFormatting>
  <x:dataValidations count="1">
    <x:dataValidation type="list" sqref="F4:F9">
      <x:formula1>"Not Started,In Progress,Validated,Needs Review"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34" hidden="0" customWidth="1"/>
    <x:col min="3" max="3" width="38" hidden="0" customWidth="1"/>
    <x:col min="4" max="4" width="64" hidden="0" customWidth="1"/>
    <x:col min="5" max="5" width="58" hidden="0" customWidth="1"/>
    <x:col min="6" max="6" width="18" hidden="0" customWidth="1"/>
  </x:cols>
  <x:sheetData>
    <x:row r="1" ht="28" customHeight="1">
      <x:c r="A1" s="6" t="str">
        <x:v>Unknown Member and Referential-Gap Evidence</x:v>
      </x:c>
      <x:c r="B1" s="6"/>
      <x:c r="C1" s="6"/>
      <x:c r="D1" s="6"/>
      <x:c r="E1" s="6"/>
      <x:c r="F1" s="6"/>
    </x:row>
    <x:row r="3" ht="32" customHeight="1">
      <x:c r="A3" s="16" t="str">
        <x:v>Scenario</x:v>
      </x:c>
      <x:c r="B3" s="16" t="str">
        <x:v>Source</x:v>
      </x:c>
      <x:c r="C3" s="16" t="str">
        <x:v>ExpectedGap</x:v>
      </x:c>
      <x:c r="D3" s="16" t="str">
        <x:v>ExpectedSemanticBehavior</x:v>
      </x:c>
      <x:c r="E3" s="16" t="str">
        <x:v>LearnerEvidence</x:v>
      </x:c>
      <x:c r="F3" s="16" t="str">
        <x:v>Status</x:v>
      </x:c>
    </x:row>
    <x:row r="4">
      <x:c r="A4" s="24" t="str">
        <x:v>Healthy model</x:v>
      </x:c>
      <x:c r="B4" s="24" t="str">
        <x:v>Model_FactIntervalGeneration</x:v>
      </x:c>
      <x:c r="C4" s="24" t="str">
        <x:v>0 healthy PlantKey orphans</x:v>
      </x:c>
      <x:c r="D4" s="24" t="str">
        <x:v>No blank unknown member caused by plant RI gap</x:v>
      </x:c>
      <x:c r="E4" s="24" t="str"/>
      <x:c r="F4" s="24" t="str">
        <x:v>Not Started</x:v>
      </x:c>
    </x:row>
    <x:row r="5">
      <x:c r="A5" s="24" t="str">
        <x:v>Controlled orphan</x:v>
      </x:c>
      <x:c r="B5" s="24" t="str">
        <x:v>Orphan_Fact_Sample.csv</x:v>
      </x:c>
      <x:c r="C5" s="24" t="str">
        <x:v>1 PlantKey=999</x:v>
      </x:c>
      <x:c r="D5" s="24" t="str">
        <x:v>Blank/unknown plant member appears under regular 1:* behavior</x:v>
      </x:c>
      <x:c r="E5" s="24" t="str"/>
      <x:c r="F5" s="24" t="str">
        <x:v>Not Started</x:v>
      </x:c>
    </x:row>
    <x:row r="6">
      <x:c r="A6" s="24" t="str">
        <x:v>Missing date</x:v>
      </x:c>
      <x:c r="B6" s="24" t="str">
        <x:v>Missing_Date_Coverage.csv</x:v>
      </x:c>
      <x:c r="C6" s="24" t="str">
        <x:v>1 DateKey=20270105 beyond max 20261231</x:v>
      </x:c>
      <x:c r="D6" s="24" t="str">
        <x:v>Blank/unknown date grouping or unmatched date evidence</x:v>
      </x:c>
      <x:c r="E6" s="24" t="str"/>
      <x:c r="F6" s="24" t="str">
        <x:v>Not Started</x:v>
      </x:c>
    </x:row>
  </x:sheetData>
  <x:mergeCells>
    <x:mergeCell ref="A1:F1"/>
  </x:mergeCells>
  <x:conditionalFormatting sqref="F4:F6">
    <x:cfRule type="expression" dxfId="21" priority="1">
      <x:formula>F4="Validated"</x:formula>
    </x:cfRule>
    <x:cfRule type="expression" dxfId="22" priority="2">
      <x:formula>F4="Needs Review"</x:formula>
    </x:cfRule>
    <x:cfRule type="expression" dxfId="23" priority="3">
      <x:formula>F4="In Progress"</x:formula>
    </x:cfRule>
  </x:conditionalFormatting>
  <x:dataValidations count="1">
    <x:dataValidation type="list" sqref="F4:F6">
      <x:formula1>"Not Started,In Progress,Validated,Needs Review"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28" hidden="0" customWidth="1"/>
    <x:col min="3" max="3" width="50" hidden="0" customWidth="1"/>
    <x:col min="4" max="4" width="64" hidden="0" customWidth="1"/>
    <x:col min="5" max="5" width="62" hidden="0" customWidth="1"/>
    <x:col min="6" max="6" width="18" hidden="0" customWidth="1"/>
  </x:cols>
  <x:sheetData>
    <x:row r="1" ht="28" customHeight="1">
      <x:c r="A1" s="6" t="str">
        <x:v>Fact Behavior and Additivity Lab</x:v>
      </x:c>
      <x:c r="B1" s="6"/>
      <x:c r="C1" s="6"/>
      <x:c r="D1" s="6"/>
      <x:c r="E1" s="6"/>
      <x:c r="F1" s="6"/>
    </x:row>
    <x:row r="3" ht="32" customHeight="1">
      <x:c r="A3" s="16" t="str">
        <x:v>Fact</x:v>
      </x:c>
      <x:c r="B3" s="16" t="str">
        <x:v>FactType</x:v>
      </x:c>
      <x:c r="C3" s="16" t="str">
        <x:v>Grain</x:v>
      </x:c>
      <x:c r="D3" s="16" t="str">
        <x:v>StructuralMeaning</x:v>
      </x:c>
      <x:c r="E3" s="16" t="str">
        <x:v>LearnerExplanation</x:v>
      </x:c>
      <x:c r="F3" s="16" t="str">
        <x:v>Status</x:v>
      </x:c>
    </x:row>
    <x:row r="4">
      <x:c r="A4" s="24" t="str">
        <x:v>FactIntervalGeneration</x:v>
      </x:c>
      <x:c r="B4" s="24" t="str">
        <x:v>Transactional / interval</x:v>
      </x:c>
      <x:c r="C4" s="24" t="str">
        <x:v>One generating plant per 15-minute reading</x:v>
      </x:c>
      <x:c r="D4" s="24" t="str">
        <x:v>Additive MWh across compatible dimensions; 500000 rows</x:v>
      </x:c>
      <x:c r="E4" s="24" t="str"/>
      <x:c r="F4" s="24" t="str">
        <x:v>Not Started</x:v>
      </x:c>
    </x:row>
    <x:row r="5">
      <x:c r="A5" s="24" t="str">
        <x:v>FactBatteryDailySnapshot</x:v>
      </x:c>
      <x:c r="B5" s="24" t="str">
        <x:v>Periodic snapshot</x:v>
      </x:c>
      <x:c r="C5" s="24" t="str">
        <x:v>One storage asset per date</x:v>
      </x:c>
      <x:c r="D5" s="24" t="str">
        <x:v>State-of-charge is not additive across dates; 522 rows</x:v>
      </x:c>
      <x:c r="E5" s="24" t="str"/>
      <x:c r="F5" s="24" t="str">
        <x:v>Not Started</x:v>
      </x:c>
    </x:row>
    <x:row r="6">
      <x:c r="A6" s="24" t="str">
        <x:v>FactMaintenanceWorkOrder</x:v>
      </x:c>
      <x:c r="B6" s="24" t="str">
        <x:v>Accumulating snapshot</x:v>
      </x:c>
      <x:c r="C6" s="24" t="str">
        <x:v>One work-order lifecycle</x:v>
      </x:c>
      <x:c r="D6" s="24" t="str">
        <x:v>Milestone dates coexist on one row; 23 rows</x:v>
      </x:c>
      <x:c r="E6" s="24" t="str"/>
      <x:c r="F6" s="24" t="str">
        <x:v>Not Started</x:v>
      </x:c>
    </x:row>
    <x:row r="7">
      <x:c r="A7" s="24" t="str">
        <x:v>FactInspectionSchedule</x:v>
      </x:c>
      <x:c r="B7" s="24" t="str">
        <x:v>Factless fact</x:v>
      </x:c>
      <x:c r="C7" s="24" t="str">
        <x:v>One scheduled inspection event</x:v>
      </x:c>
      <x:c r="D7" s="24" t="str">
        <x:v>Row existence records the event; 36 rows</x:v>
      </x:c>
      <x:c r="E7" s="24" t="str"/>
      <x:c r="F7" s="24" t="str">
        <x:v>Not Started</x:v>
      </x:c>
    </x:row>
  </x:sheetData>
  <x:mergeCells>
    <x:mergeCell ref="A1:F1"/>
  </x:mergeCells>
  <x:conditionalFormatting sqref="F4:F7">
    <x:cfRule type="expression" dxfId="24" priority="1">
      <x:formula>F4="Validated"</x:formula>
    </x:cfRule>
    <x:cfRule type="expression" dxfId="25" priority="2">
      <x:formula>F4="Needs Review"</x:formula>
    </x:cfRule>
    <x:cfRule type="expression" dxfId="26" priority="3">
      <x:formula>F4="In Progress"</x:formula>
    </x:cfRule>
  </x:conditionalFormatting>
  <x:dataValidations count="1">
    <x:dataValidation type="list" sqref="F4:F7">
      <x:formula1>"Not Started,In Progress,Validated,Needs Review"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2" hidden="0" customWidth="1"/>
    <x:col min="5" max="5" width="22" hidden="0" customWidth="1"/>
    <x:col min="6" max="6" width="24" hidden="0" customWidth="1"/>
    <x:col min="7" max="7" width="50" hidden="0" customWidth="1"/>
    <x:col min="8" max="8" width="18" hidden="0" customWidth="1"/>
  </x:cols>
  <x:sheetData>
    <x:row r="1" ht="28" customHeight="1">
      <x:c r="A1" s="6" t="str">
        <x:v>Interval Actuals vs Monthly Regional Targets</x:v>
      </x:c>
      <x:c r="B1" s="6"/>
      <x:c r="C1" s="6"/>
      <x:c r="D1" s="6"/>
      <x:c r="E1" s="6"/>
      <x:c r="F1" s="6"/>
      <x:c r="G1" s="6"/>
      <x:c r="H1" s="6"/>
    </x:row>
    <x:row r="3" ht="32" customHeight="1">
      <x:c r="A3" s="16" t="str">
        <x:v>RegionKey</x:v>
      </x:c>
      <x:c r="B3" s="16" t="str">
        <x:v>TargetMonth</x:v>
      </x:c>
      <x:c r="C3" s="16" t="str">
        <x:v>ExpectedIntervalRows</x:v>
      </x:c>
      <x:c r="D3" s="16" t="str">
        <x:v>ExpectedActualMWh</x:v>
      </x:c>
      <x:c r="E3" s="16" t="str">
        <x:v>ExpectedTargetMWh</x:v>
      </x:c>
      <x:c r="F3" s="16" t="str">
        <x:v>ExpectedActualMinusTarget</x:v>
      </x:c>
      <x:c r="G3" s="16" t="str">
        <x:v>LearnerResult/ModelPath</x:v>
      </x:c>
      <x:c r="H3" s="16" t="str">
        <x:v>Status</x:v>
      </x:c>
    </x:row>
    <x:row r="4">
      <x:c r="A4" s="24" t="str">
        <x:v>1</x:v>
      </x:c>
      <x:c r="B4" s="24" t="str">
        <x:v>2026-07</x:v>
      </x:c>
      <x:c r="C4" s="24" t="str">
        <x:v>5952</x:v>
      </x:c>
      <x:c r="D4" s="24" t="str">
        <x:v>185705.2080</x:v>
      </x:c>
      <x:c r="E4" s="24" t="str">
        <x:v>186825.76</x:v>
      </x:c>
      <x:c r="F4" s="24" t="str">
        <x:v>-1120.5520</x:v>
      </x:c>
      <x:c r="G4" s="24" t="str"/>
      <x:c r="H4" s="24" t="str">
        <x:v>Not Started</x:v>
      </x:c>
    </x:row>
    <x:row r="5">
      <x:c r="A5" s="24" t="str">
        <x:v>2</x:v>
      </x:c>
      <x:c r="B5" s="24" t="str">
        <x:v>2026-07</x:v>
      </x:c>
      <x:c r="C5" s="24" t="str">
        <x:v>11904</x:v>
      </x:c>
      <x:c r="D5" s="24" t="str">
        <x:v>180792.3870</x:v>
      </x:c>
      <x:c r="E5" s="24" t="str">
        <x:v>181217.89</x:v>
      </x:c>
      <x:c r="F5" s="24" t="str">
        <x:v>-425.5030</x:v>
      </x:c>
      <x:c r="G5" s="24" t="str"/>
      <x:c r="H5" s="24" t="str">
        <x:v>Not Started</x:v>
      </x:c>
    </x:row>
    <x:row r="6">
      <x:c r="A6" s="24" t="str">
        <x:v>3</x:v>
      </x:c>
      <x:c r="B6" s="24" t="str">
        <x:v>2026-07</x:v>
      </x:c>
      <x:c r="C6" s="24" t="str">
        <x:v>8928</x:v>
      </x:c>
      <x:c r="D6" s="24" t="str">
        <x:v>173652.1245</x:v>
      </x:c>
      <x:c r="E6" s="24" t="str">
        <x:v>175068.71</x:v>
      </x:c>
      <x:c r="F6" s="24" t="str">
        <x:v>-1416.5855</x:v>
      </x:c>
      <x:c r="G6" s="24" t="str"/>
      <x:c r="H6" s="24" t="str">
        <x:v>Not Started</x:v>
      </x:c>
    </x:row>
    <x:row r="7">
      <x:c r="A7" s="24" t="str">
        <x:v>4</x:v>
      </x:c>
      <x:c r="B7" s="24" t="str">
        <x:v>2026-07</x:v>
      </x:c>
      <x:c r="C7" s="24" t="str">
        <x:v>5952</x:v>
      </x:c>
      <x:c r="D7" s="24" t="str">
        <x:v>162191.0400</x:v>
      </x:c>
      <x:c r="E7" s="24" t="str">
        <x:v>163822.99</x:v>
      </x:c>
      <x:c r="F7" s="24" t="str">
        <x:v>-1631.9500</x:v>
      </x:c>
      <x:c r="G7" s="24" t="str"/>
      <x:c r="H7" s="24" t="str">
        <x:v>Not Started</x:v>
      </x:c>
    </x:row>
    <x:row r="8">
      <x:c r="A8" s="24" t="str">
        <x:v>1</x:v>
      </x:c>
      <x:c r="B8" s="24" t="str">
        <x:v>2026-08</x:v>
      </x:c>
      <x:c r="C8" s="24" t="str">
        <x:v>5952</x:v>
      </x:c>
      <x:c r="D8" s="24" t="str">
        <x:v>185701.4640</x:v>
      </x:c>
      <x:c r="E8" s="24" t="str">
        <x:v>186825.76</x:v>
      </x:c>
      <x:c r="F8" s="24" t="str">
        <x:v>-1124.2960</x:v>
      </x:c>
      <x:c r="G8" s="24" t="str"/>
      <x:c r="H8" s="24" t="str">
        <x:v>Not Started</x:v>
      </x:c>
    </x:row>
    <x:row r="9">
      <x:c r="A9" s="24" t="str">
        <x:v>2</x:v>
      </x:c>
      <x:c r="B9" s="24" t="str">
        <x:v>2026-08</x:v>
      </x:c>
      <x:c r="C9" s="24" t="str">
        <x:v>11904</x:v>
      </x:c>
      <x:c r="D9" s="24" t="str">
        <x:v>180793.7820</x:v>
      </x:c>
      <x:c r="E9" s="24" t="str">
        <x:v>181217.89</x:v>
      </x:c>
      <x:c r="F9" s="24" t="str">
        <x:v>-424.1080</x:v>
      </x:c>
      <x:c r="G9" s="24" t="str"/>
      <x:c r="H9" s="24" t="str">
        <x:v>Not Started</x:v>
      </x:c>
    </x:row>
    <x:row r="10">
      <x:c r="A10" s="24" t="str">
        <x:v>3</x:v>
      </x:c>
      <x:c r="B10" s="24" t="str">
        <x:v>2026-08</x:v>
      </x:c>
      <x:c r="C10" s="24" t="str">
        <x:v>8928</x:v>
      </x:c>
      <x:c r="D10" s="24" t="str">
        <x:v>173647.9095</x:v>
      </x:c>
      <x:c r="E10" s="24" t="str">
        <x:v>175068.71</x:v>
      </x:c>
      <x:c r="F10" s="24" t="str">
        <x:v>-1420.8005</x:v>
      </x:c>
      <x:c r="G10" s="24" t="str"/>
      <x:c r="H10" s="24" t="str">
        <x:v>Not Started</x:v>
      </x:c>
    </x:row>
    <x:row r="11">
      <x:c r="A11" s="24" t="str">
        <x:v>4</x:v>
      </x:c>
      <x:c r="B11" s="24" t="str">
        <x:v>2026-08</x:v>
      </x:c>
      <x:c r="C11" s="24" t="str">
        <x:v>5952</x:v>
      </x:c>
      <x:c r="D11" s="24" t="str">
        <x:v>162191.1300</x:v>
      </x:c>
      <x:c r="E11" s="24" t="str">
        <x:v>163822.99</x:v>
      </x:c>
      <x:c r="F11" s="24" t="str">
        <x:v>-1631.8600</x:v>
      </x:c>
      <x:c r="G11" s="24" t="str"/>
      <x:c r="H11" s="24" t="str">
        <x:v>Not Started</x:v>
      </x:c>
    </x:row>
    <x:row r="12">
      <x:c r="A12" s="24" t="str">
        <x:v>1</x:v>
      </x:c>
      <x:c r="B12" s="24" t="str">
        <x:v>2026-09</x:v>
      </x:c>
      <x:c r="C12" s="24" t="str">
        <x:v>5760</x:v>
      </x:c>
      <x:c r="D12" s="24" t="str">
        <x:v>179709.6600</x:v>
      </x:c>
      <x:c r="E12" s="24" t="str">
        <x:v>180871.54</x:v>
      </x:c>
      <x:c r="F12" s="24" t="str">
        <x:v>-1161.8800</x:v>
      </x:c>
      <x:c r="G12" s="24" t="str"/>
      <x:c r="H12" s="24" t="str">
        <x:v>Not Started</x:v>
      </x:c>
    </x:row>
    <x:row r="13">
      <x:c r="A13" s="24" t="str">
        <x:v>2</x:v>
      </x:c>
      <x:c r="B13" s="24" t="str">
        <x:v>2026-09</x:v>
      </x:c>
      <x:c r="C13" s="24" t="str">
        <x:v>11520</x:v>
      </x:c>
      <x:c r="D13" s="24" t="str">
        <x:v>174958.7850</x:v>
      </x:c>
      <x:c r="E13" s="24" t="str">
        <x:v>175655.39</x:v>
      </x:c>
      <x:c r="F13" s="24" t="str">
        <x:v>-696.6050</x:v>
      </x:c>
      <x:c r="G13" s="24" t="str"/>
      <x:c r="H13" s="24" t="str">
        <x:v>Not Started</x:v>
      </x:c>
    </x:row>
    <x:row r="14">
      <x:c r="A14" s="24" t="str">
        <x:v>3</x:v>
      </x:c>
      <x:c r="B14" s="24" t="str">
        <x:v>2026-09</x:v>
      </x:c>
      <x:c r="C14" s="24" t="str">
        <x:v>8640</x:v>
      </x:c>
      <x:c r="D14" s="24" t="str">
        <x:v>168047.8575</x:v>
      </x:c>
      <x:c r="E14" s="24" t="str">
        <x:v>169210.25</x:v>
      </x:c>
      <x:c r="F14" s="24" t="str">
        <x:v>-1162.3925</x:v>
      </x:c>
      <x:c r="G14" s="24" t="str"/>
      <x:c r="H14" s="24" t="str">
        <x:v>Not Started</x:v>
      </x:c>
    </x:row>
    <x:row r="15">
      <x:c r="A15" s="24" t="str">
        <x:v>4</x:v>
      </x:c>
      <x:c r="B15" s="24" t="str">
        <x:v>2026-09</x:v>
      </x:c>
      <x:c r="C15" s="24" t="str">
        <x:v>5760</x:v>
      </x:c>
      <x:c r="D15" s="24" t="str">
        <x:v>156962.0250</x:v>
      </x:c>
      <x:c r="E15" s="24" t="str">
        <x:v>158306.07</x:v>
      </x:c>
      <x:c r="F15" s="24" t="str">
        <x:v>-1344.0450</x:v>
      </x:c>
      <x:c r="G15" s="24" t="str"/>
      <x:c r="H15" s="24" t="str">
        <x:v>Not Started</x:v>
      </x:c>
    </x:row>
  </x:sheetData>
  <x:mergeCells>
    <x:mergeCell ref="A1:H1"/>
  </x:mergeCells>
  <x:conditionalFormatting sqref="H4:H15">
    <x:cfRule type="expression" dxfId="27" priority="1">
      <x:formula>H4="Validated"</x:formula>
    </x:cfRule>
    <x:cfRule type="expression" dxfId="28" priority="2">
      <x:formula>H4="Needs Review"</x:formula>
    </x:cfRule>
    <x:cfRule type="expression" dxfId="29" priority="3">
      <x:formula>H4="In Progress"</x:formula>
    </x:cfRule>
  </x:conditionalFormatting>
  <x:dataValidations count="1">
    <x:dataValidation type="list" sqref="H4:H15">
      <x:formula1>"Not Started,In Progress,Validated,Needs Review"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18" hidden="0" customWidth="1"/>
    <x:col min="4" max="4" width="18" hidden="0" customWidth="1"/>
    <x:col min="5" max="5" width="58" hidden="0" customWidth="1"/>
    <x:col min="6" max="6" width="54" hidden="0" customWidth="1"/>
    <x:col min="7" max="7" width="18" hidden="0" customWidth="1"/>
  </x:cols>
  <x:sheetData>
    <x:row r="1" ht="28" customHeight="1">
      <x:c r="A1" s="6" t="str">
        <x:v>Dedicated Date and Time Architecture</x:v>
      </x:c>
      <x:c r="B1" s="6"/>
      <x:c r="C1" s="6"/>
      <x:c r="D1" s="6"/>
      <x:c r="E1" s="6"/>
      <x:c r="F1" s="6"/>
      <x:c r="G1" s="6"/>
    </x:row>
    <x:row r="3" ht="32" customHeight="1">
      <x:c r="A3" s="16" t="str">
        <x:v>Object/Setting</x:v>
      </x:c>
      <x:c r="B3" s="16" t="str">
        <x:v>ExpectedRows/State</x:v>
      </x:c>
      <x:c r="C3" s="16" t="str">
        <x:v>Min</x:v>
      </x:c>
      <x:c r="D3" s="16" t="str">
        <x:v>Max</x:v>
      </x:c>
      <x:c r="E3" s="16" t="str">
        <x:v>ExpectedProof</x:v>
      </x:c>
      <x:c r="F3" s="16" t="str">
        <x:v>LearnerEvidence</x:v>
      </x:c>
      <x:c r="G3" s="16" t="str">
        <x:v>Status</x:v>
      </x:c>
    </x:row>
    <x:row r="4">
      <x:c r="A4" s="24" t="str">
        <x:v>DimDate</x:v>
      </x:c>
      <x:c r="B4" s="24" t="str">
        <x:v>1096</x:v>
      </x:c>
      <x:c r="C4" s="24" t="str">
        <x:v>2024-01-01</x:v>
      </x:c>
      <x:c r="D4" s="24" t="str">
        <x:v>2026-12-31</x:v>
      </x:c>
      <x:c r="E4" s="24" t="str">
        <x:v>DateKey unique; Date continuous; fiscal year starts July 1</x:v>
      </x:c>
      <x:c r="F4" s="24" t="str"/>
      <x:c r="G4" s="24" t="str">
        <x:v>Not Started</x:v>
      </x:c>
    </x:row>
    <x:row r="5">
      <x:c r="A5" s="24" t="str">
        <x:v>DimTime</x:v>
      </x:c>
      <x:c r="B5" s="24" t="str">
        <x:v>96</x:v>
      </x:c>
      <x:c r="C5" s="24" t="str">
        <x:v>00:00</x:v>
      </x:c>
      <x:c r="D5" s="24" t="str">
        <x:v>23:45</x:v>
      </x:c>
      <x:c r="E5" s="24" t="str">
        <x:v>QuarterHourIndex 1-96; 15-minute members</x:v>
      </x:c>
      <x:c r="F5" s="24" t="str"/>
      <x:c r="G5" s="24" t="str">
        <x:v>Not Started</x:v>
      </x:c>
    </x:row>
    <x:row r="6">
      <x:c r="A6" s="24" t="str">
        <x:v>Auto date/time</x:v>
      </x:c>
      <x:c r="B6" s="24" t="str">
        <x:v>Disabled</x:v>
      </x:c>
      <x:c r="C6" s="24" t="str"/>
      <x:c r="D6" s="24" t="str"/>
      <x:c r="E6" s="24" t="str">
        <x:v>Final clean model uses governed DimDate</x:v>
      </x:c>
      <x:c r="F6" s="24" t="str"/>
      <x:c r="G6" s="24" t="str">
        <x:v>Not Started</x:v>
      </x:c>
    </x:row>
    <x:row r="7">
      <x:c r="A7" s="24" t="str">
        <x:v>Mark as date table</x:v>
      </x:c>
      <x:c r="B7" s="24" t="str">
        <x:v>DimDate[Date]</x:v>
      </x:c>
      <x:c r="C7" s="24" t="str"/>
      <x:c r="D7" s="24" t="str"/>
      <x:c r="E7" s="24" t="str">
        <x:v>Use supplied date authority on classic time-intelligence path</x:v>
      </x:c>
      <x:c r="F7" s="24" t="str"/>
      <x:c r="G7" s="24" t="str">
        <x:v>Not Started</x:v>
      </x:c>
    </x:row>
    <x:row r="8">
      <x:c r="A8" s="24" t="str">
        <x:v>Fiscal year</x:v>
      </x:c>
      <x:c r="B8" s="24" t="str">
        <x:v>July 1</x:v>
      </x:c>
      <x:c r="C8" s="24" t="str"/>
      <x:c r="D8" s="24" t="str"/>
      <x:c r="E8" s="24" t="str">
        <x:v>FY2027 begins 2026-07-01</x:v>
      </x:c>
      <x:c r="F8" s="24" t="str"/>
      <x:c r="G8" s="24" t="str">
        <x:v>Not Started</x:v>
      </x:c>
    </x:row>
  </x:sheetData>
  <x:mergeCells>
    <x:mergeCell ref="A1:G1"/>
  </x:mergeCells>
  <x:conditionalFormatting sqref="G4:G8">
    <x:cfRule type="expression" dxfId="30" priority="1">
      <x:formula>G4="Validated"</x:formula>
    </x:cfRule>
    <x:cfRule type="expression" dxfId="31" priority="2">
      <x:formula>G4="Needs Review"</x:formula>
    </x:cfRule>
    <x:cfRule type="expression" dxfId="32" priority="3">
      <x:formula>G4="In Progress"</x:formula>
    </x:cfRule>
  </x:conditionalFormatting>
  <x:dataValidations count="1">
    <x:dataValidation type="list" sqref="G4:G8">
      <x:formula1>"Not Started,In Progress,Validated,Needs Review"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48" hidden="0" customWidth="1"/>
    <x:col min="3" max="3" width="24" hidden="0" customWidth="1"/>
    <x:col min="4" max="4" width="60" hidden="0" customWidth="1"/>
    <x:col min="5" max="5" width="56" hidden="0" customWidth="1"/>
    <x:col min="6" max="6" width="18" hidden="0" customWidth="1"/>
  </x:cols>
  <x:sheetData>
    <x:row r="1" ht="28" customHeight="1">
      <x:c r="A1" s="6" t="str">
        <x:v>Role-Playing Date Relationship Evidence</x:v>
      </x:c>
      <x:c r="B1" s="6"/>
      <x:c r="C1" s="6"/>
      <x:c r="D1" s="6"/>
      <x:c r="E1" s="6"/>
      <x:c r="F1" s="6"/>
    </x:row>
    <x:row r="3" ht="32" customHeight="1">
      <x:c r="A3" s="16" t="str">
        <x:v>Role</x:v>
      </x:c>
      <x:c r="B3" s="16" t="str">
        <x:v>Column</x:v>
      </x:c>
      <x:c r="C3" s="16" t="str">
        <x:v>ExpectedState</x:v>
      </x:c>
      <x:c r="D3" s="16" t="str">
        <x:v>Reason</x:v>
      </x:c>
      <x:c r="E3" s="16" t="str">
        <x:v>LearnerEvidence</x:v>
      </x:c>
      <x:c r="F3" s="16" t="str">
        <x:v>Status</x:v>
      </x:c>
    </x:row>
    <x:row r="4">
      <x:c r="A4" s="24" t="str">
        <x:v>Maintenance Raised Date</x:v>
      </x:c>
      <x:c r="B4" s="24" t="str">
        <x:v>FactMaintenanceWorkOrder.RaisedDateKey</x:v>
      </x:c>
      <x:c r="C4" s="24" t="str">
        <x:v>Active</x:v>
      </x:c>
      <x:c r="D4" s="24" t="str">
        <x:v>Primary maintenance date role</x:v>
      </x:c>
      <x:c r="E4" s="24" t="str"/>
      <x:c r="F4" s="24" t="str">
        <x:v>Not Started</x:v>
      </x:c>
    </x:row>
    <x:row r="5">
      <x:c r="A5" s="24" t="str">
        <x:v>Maintenance Start Date</x:v>
      </x:c>
      <x:c r="B5" s="24" t="str">
        <x:v>FactMaintenanceWorkOrder.StartDateKey</x:v>
      </x:c>
      <x:c r="C5" s="24" t="str">
        <x:v>Inactive</x:v>
      </x:c>
      <x:c r="D5" s="24" t="str">
        <x:v>Alternative role; later DAX can activate it explicitly</x:v>
      </x:c>
      <x:c r="E5" s="24" t="str"/>
      <x:c r="F5" s="24" t="str">
        <x:v>Not Started</x:v>
      </x:c>
    </x:row>
    <x:row r="6">
      <x:c r="A6" s="24" t="str">
        <x:v>Maintenance Closed Date</x:v>
      </x:c>
      <x:c r="B6" s="24" t="str">
        <x:v>FactMaintenanceWorkOrder.ClosedDateKey</x:v>
      </x:c>
      <x:c r="C6" s="24" t="str">
        <x:v>Inactive</x:v>
      </x:c>
      <x:c r="D6" s="24" t="str">
        <x:v>Alternative maintenance role</x:v>
      </x:c>
      <x:c r="E6" s="24" t="str"/>
      <x:c r="F6" s="24" t="str">
        <x:v>Not Started</x:v>
      </x:c>
    </x:row>
    <x:row r="7">
      <x:c r="A7" s="24" t="str">
        <x:v>Forecast Target Date</x:v>
      </x:c>
      <x:c r="B7" s="24" t="str">
        <x:v>FactGenerationForecast.TargetDateKey</x:v>
      </x:c>
      <x:c r="C7" s="24" t="str">
        <x:v>Active</x:v>
      </x:c>
      <x:c r="D7" s="24" t="str">
        <x:v>Primary forecast date role</x:v>
      </x:c>
      <x:c r="E7" s="24" t="str"/>
      <x:c r="F7" s="24" t="str">
        <x:v>Not Started</x:v>
      </x:c>
    </x:row>
    <x:row r="8">
      <x:c r="A8" s="24" t="str">
        <x:v>Forecast Issue Date</x:v>
      </x:c>
      <x:c r="B8" s="24" t="str">
        <x:v>FactGenerationForecast.IssueDateKey</x:v>
      </x:c>
      <x:c r="C8" s="24" t="str">
        <x:v>Inactive</x:v>
      </x:c>
      <x:c r="D8" s="24" t="str">
        <x:v>Alternative forecast issue role</x:v>
      </x:c>
      <x:c r="E8" s="24" t="str"/>
      <x:c r="F8" s="24" t="str">
        <x:v>Not Started</x:v>
      </x:c>
    </x:row>
    <x:row r="9">
      <x:c r="A9" s="24" t="str">
        <x:v>Plant Commissioning Date</x:v>
      </x:c>
      <x:c r="B9" s="24" t="str">
        <x:v>DimPlant.CommissioningDateKey</x:v>
      </x:c>
      <x:c r="C9" s="24" t="str">
        <x:v>Attribute / optional role copy</x:v>
      </x:c>
      <x:c r="D9" s="24" t="str">
        <x:v>Concrete role-playing concept without forcing a relationship</x:v>
      </x:c>
      <x:c r="E9" s="24" t="str"/>
      <x:c r="F9" s="24" t="str">
        <x:v>Not Started</x:v>
      </x:c>
    </x:row>
  </x:sheetData>
  <x:mergeCells>
    <x:mergeCell ref="A1:F1"/>
  </x:mergeCells>
  <x:conditionalFormatting sqref="F4:F9">
    <x:cfRule type="expression" dxfId="33" priority="1">
      <x:formula>F4="Validated"</x:formula>
    </x:cfRule>
    <x:cfRule type="expression" dxfId="34" priority="2">
      <x:formula>F4="Needs Review"</x:formula>
    </x:cfRule>
    <x:cfRule type="expression" dxfId="35" priority="3">
      <x:formula>F4="In Progress"</x:formula>
    </x:cfRule>
  </x:conditionalFormatting>
  <x:dataValidations count="1">
    <x:dataValidation type="list" sqref="F4:F9">
      <x:formula1>"Not Started,In Progress,Validated,Needs Review"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2" hidden="0" customWidth="1"/>
    <x:col min="4" max="4" width="16" hidden="0" customWidth="1"/>
    <x:col min="5" max="5" width="18" hidden="0" customWidth="1"/>
    <x:col min="6" max="6" width="18" hidden="0" customWidth="1"/>
    <x:col min="7" max="7" width="14" hidden="0" customWidth="1"/>
    <x:col min="8" max="8" width="22" hidden="0" customWidth="1"/>
    <x:col min="9" max="9" width="22" hidden="0" customWidth="1"/>
    <x:col min="10" max="10" width="18" hidden="0" customWidth="1"/>
  </x:cols>
  <x:sheetData>
    <x:row r="1" ht="28" customHeight="1">
      <x:c r="A1" s="6" t="str">
        <x:v>Type 2 Plant History Mapping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3" ht="32" customHeight="1">
      <x:c r="A3" s="16" t="str">
        <x:v>PlantSK</x:v>
      </x:c>
      <x:c r="B3" s="16" t="str">
        <x:v>PlantID</x:v>
      </x:c>
      <x:c r="C3" s="16" t="str">
        <x:v>Version</x:v>
      </x:c>
      <x:c r="D3" s="16" t="str">
        <x:v>CapacityMW</x:v>
      </x:c>
      <x:c r="E3" s="16" t="str">
        <x:v>EffectiveStart</x:v>
      </x:c>
      <x:c r="F3" s="16" t="str">
        <x:v>EffectiveEnd</x:v>
      </x:c>
      <x:c r="G3" s="16" t="str">
        <x:v>IsCurrent</x:v>
      </x:c>
      <x:c r="H3" s="16" t="str">
        <x:v>ExpectedIntervalRows</x:v>
      </x:c>
      <x:c r="I3" s="16" t="str">
        <x:v>LearnerMappedRows</x:v>
      </x:c>
      <x:c r="J3" s="16" t="str">
        <x:v>Status</x:v>
      </x:c>
    </x:row>
    <x:row r="4">
      <x:c r="A4" s="24" t="str">
        <x:v>101</x:v>
      </x:c>
      <x:c r="B4" s="24" t="str">
        <x:v>SVR-001</x:v>
      </x:c>
      <x:c r="C4" s="24" t="str">
        <x:v>1</x:v>
      </x:c>
      <x:c r="D4" s="24" t="str">
        <x:v>300.00</x:v>
      </x:c>
      <x:c r="E4" s="24" t="str">
        <x:v>2024-01-01</x:v>
      </x:c>
      <x:c r="F4" s="24" t="str">
        <x:v>9999-12-31</x:v>
      </x:c>
      <x:c r="G4" s="24" t="str">
        <x:v>TRUE</x:v>
      </x:c>
      <x:c r="H4" s="24" t="str">
        <x:v>45455</x:v>
      </x:c>
      <x:c r="I4" s="24" t="str"/>
      <x:c r="J4" s="24" t="str">
        <x:v>Not Started</x:v>
      </x:c>
    </x:row>
    <x:row r="5">
      <x:c r="A5" s="24" t="str">
        <x:v>201</x:v>
      </x:c>
      <x:c r="B5" s="24" t="str">
        <x:v>SVR-002</x:v>
      </x:c>
      <x:c r="C5" s="24" t="str">
        <x:v>1</x:v>
      </x:c>
      <x:c r="D5" s="24" t="str">
        <x:v>180.00</x:v>
      </x:c>
      <x:c r="E5" s="24" t="str">
        <x:v>2024-01-01</x:v>
      </x:c>
      <x:c r="F5" s="24" t="str">
        <x:v>9999-12-31</x:v>
      </x:c>
      <x:c r="G5" s="24" t="str">
        <x:v>TRUE</x:v>
      </x:c>
      <x:c r="H5" s="24" t="str">
        <x:v>45455</x:v>
      </x:c>
      <x:c r="I5" s="24" t="str"/>
      <x:c r="J5" s="24" t="str">
        <x:v>Not Started</x:v>
      </x:c>
    </x:row>
    <x:row r="6">
      <x:c r="A6" s="24" t="str">
        <x:v>301</x:v>
      </x:c>
      <x:c r="B6" s="24" t="str">
        <x:v>SVR-003</x:v>
      </x:c>
      <x:c r="C6" s="24" t="str">
        <x:v>1</x:v>
      </x:c>
      <x:c r="D6" s="24" t="str">
        <x:v>200.00</x:v>
      </x:c>
      <x:c r="E6" s="24" t="str">
        <x:v>2024-01-01</x:v>
      </x:c>
      <x:c r="F6" s="24" t="str">
        <x:v>2025-12-31</x:v>
      </x:c>
      <x:c r="G6" s="24" t="str">
        <x:v>FALSE</x:v>
      </x:c>
      <x:c r="H6" s="24" t="str">
        <x:v>17664</x:v>
      </x:c>
      <x:c r="I6" s="24" t="str"/>
      <x:c r="J6" s="24" t="str">
        <x:v>Not Started</x:v>
      </x:c>
    </x:row>
    <x:row r="7">
      <x:c r="A7" s="24" t="str">
        <x:v>302</x:v>
      </x:c>
      <x:c r="B7" s="24" t="str">
        <x:v>SVR-003</x:v>
      </x:c>
      <x:c r="C7" s="24" t="str">
        <x:v>2</x:v>
      </x:c>
      <x:c r="D7" s="24" t="str">
        <x:v>220.00</x:v>
      </x:c>
      <x:c r="E7" s="24" t="str">
        <x:v>2026-01-01</x:v>
      </x:c>
      <x:c r="F7" s="24" t="str">
        <x:v>9999-12-31</x:v>
      </x:c>
      <x:c r="G7" s="24" t="str">
        <x:v>TRUE</x:v>
      </x:c>
      <x:c r="H7" s="24" t="str">
        <x:v>27791</x:v>
      </x:c>
      <x:c r="I7" s="24" t="str"/>
      <x:c r="J7" s="24" t="str">
        <x:v>Not Started</x:v>
      </x:c>
    </x:row>
    <x:row r="8">
      <x:c r="A8" s="24" t="str">
        <x:v>401</x:v>
      </x:c>
      <x:c r="B8" s="24" t="str">
        <x:v>SVR-004</x:v>
      </x:c>
      <x:c r="C8" s="24" t="str">
        <x:v>1</x:v>
      </x:c>
      <x:c r="D8" s="24" t="str">
        <x:v>180.00</x:v>
      </x:c>
      <x:c r="E8" s="24" t="str">
        <x:v>2024-01-01</x:v>
      </x:c>
      <x:c r="F8" s="24" t="str">
        <x:v>9999-12-31</x:v>
      </x:c>
      <x:c r="G8" s="24" t="str">
        <x:v>TRUE</x:v>
      </x:c>
      <x:c r="H8" s="24" t="str">
        <x:v>45455</x:v>
      </x:c>
      <x:c r="I8" s="24" t="str"/>
      <x:c r="J8" s="24" t="str">
        <x:v>Not Started</x:v>
      </x:c>
    </x:row>
    <x:row r="9">
      <x:c r="A9" s="24" t="str">
        <x:v>501</x:v>
      </x:c>
      <x:c r="B9" s="24" t="str">
        <x:v>SVR-005</x:v>
      </x:c>
      <x:c r="C9" s="24" t="str">
        <x:v>1</x:v>
      </x:c>
      <x:c r="D9" s="24" t="str">
        <x:v>230.00</x:v>
      </x:c>
      <x:c r="E9" s="24" t="str">
        <x:v>2024-01-01</x:v>
      </x:c>
      <x:c r="F9" s="24" t="str">
        <x:v>2025-12-31</x:v>
      </x:c>
      <x:c r="G9" s="24" t="str">
        <x:v>FALSE</x:v>
      </x:c>
      <x:c r="H9" s="24" t="str">
        <x:v>17664</x:v>
      </x:c>
      <x:c r="I9" s="24" t="str"/>
      <x:c r="J9" s="24" t="str">
        <x:v>Not Started</x:v>
      </x:c>
    </x:row>
    <x:row r="10">
      <x:c r="A10" s="24" t="str">
        <x:v>502</x:v>
      </x:c>
      <x:c r="B10" s="24" t="str">
        <x:v>SVR-005</x:v>
      </x:c>
      <x:c r="C10" s="24" t="str">
        <x:v>2</x:v>
      </x:c>
      <x:c r="D10" s="24" t="str">
        <x:v>250.00</x:v>
      </x:c>
      <x:c r="E10" s="24" t="str">
        <x:v>2026-01-01</x:v>
      </x:c>
      <x:c r="F10" s="24" t="str">
        <x:v>9999-12-31</x:v>
      </x:c>
      <x:c r="G10" s="24" t="str">
        <x:v>TRUE</x:v>
      </x:c>
      <x:c r="H10" s="24" t="str">
        <x:v>27791</x:v>
      </x:c>
      <x:c r="I10" s="24" t="str"/>
      <x:c r="J10" s="24" t="str">
        <x:v>Not Started</x:v>
      </x:c>
    </x:row>
    <x:row r="11">
      <x:c r="A11" s="24" t="str">
        <x:v>601</x:v>
      </x:c>
      <x:c r="B11" s="24" t="str">
        <x:v>SVR-006</x:v>
      </x:c>
      <x:c r="C11" s="24" t="str">
        <x:v>1</x:v>
      </x:c>
      <x:c r="D11" s="24" t="str">
        <x:v>200.00</x:v>
      </x:c>
      <x:c r="E11" s="24" t="str">
        <x:v>2024-01-01</x:v>
      </x:c>
      <x:c r="F11" s="24" t="str">
        <x:v>9999-12-31</x:v>
      </x:c>
      <x:c r="G11" s="24" t="str">
        <x:v>TRUE</x:v>
      </x:c>
      <x:c r="H11" s="24" t="str">
        <x:v>45455</x:v>
      </x:c>
      <x:c r="I11" s="24" t="str"/>
      <x:c r="J11" s="24" t="str">
        <x:v>Not Started</x:v>
      </x:c>
    </x:row>
    <x:row r="12">
      <x:c r="A12" s="24" t="str">
        <x:v>701</x:v>
      </x:c>
      <x:c r="B12" s="24" t="str">
        <x:v>SVR-007</x:v>
      </x:c>
      <x:c r="C12" s="24" t="str">
        <x:v>1</x:v>
      </x:c>
      <x:c r="D12" s="24" t="str">
        <x:v>320.00</x:v>
      </x:c>
      <x:c r="E12" s="24" t="str">
        <x:v>2024-01-01</x:v>
      </x:c>
      <x:c r="F12" s="24" t="str">
        <x:v>2025-12-31</x:v>
      </x:c>
      <x:c r="G12" s="24" t="str">
        <x:v>FALSE</x:v>
      </x:c>
      <x:c r="H12" s="24" t="str">
        <x:v>17664</x:v>
      </x:c>
      <x:c r="I12" s="24" t="str"/>
      <x:c r="J12" s="24" t="str">
        <x:v>Not Started</x:v>
      </x:c>
    </x:row>
    <x:row r="13">
      <x:c r="A13" s="24" t="str">
        <x:v>702</x:v>
      </x:c>
      <x:c r="B13" s="24" t="str">
        <x:v>SVR-007</x:v>
      </x:c>
      <x:c r="C13" s="24" t="str">
        <x:v>2</x:v>
      </x:c>
      <x:c r="D13" s="24" t="str">
        <x:v>350.00</x:v>
      </x:c>
      <x:c r="E13" s="24" t="str">
        <x:v>2026-01-01</x:v>
      </x:c>
      <x:c r="F13" s="24" t="str">
        <x:v>9999-12-31</x:v>
      </x:c>
      <x:c r="G13" s="24" t="str">
        <x:v>TRUE</x:v>
      </x:c>
      <x:c r="H13" s="24" t="str">
        <x:v>27790</x:v>
      </x:c>
      <x:c r="I13" s="24" t="str"/>
      <x:c r="J13" s="24" t="str">
        <x:v>Not Started</x:v>
      </x:c>
    </x:row>
    <x:row r="14">
      <x:c r="A14" s="24" t="str">
        <x:v>801</x:v>
      </x:c>
      <x:c r="B14" s="24" t="str">
        <x:v>SVR-008</x:v>
      </x:c>
      <x:c r="C14" s="24" t="str">
        <x:v>1</x:v>
      </x:c>
      <x:c r="D14" s="24" t="str">
        <x:v>120.00</x:v>
      </x:c>
      <x:c r="E14" s="24" t="str">
        <x:v>2024-01-01</x:v>
      </x:c>
      <x:c r="F14" s="24" t="str">
        <x:v>9999-12-31</x:v>
      </x:c>
      <x:c r="G14" s="24" t="str">
        <x:v>TRUE</x:v>
      </x:c>
      <x:c r="H14" s="24" t="str">
        <x:v>45454</x:v>
      </x:c>
      <x:c r="I14" s="24" t="str"/>
      <x:c r="J14" s="24" t="str">
        <x:v>Not Started</x:v>
      </x:c>
    </x:row>
    <x:row r="15">
      <x:c r="A15" s="24" t="str">
        <x:v>901</x:v>
      </x:c>
      <x:c r="B15" s="24" t="str">
        <x:v>SVR-009</x:v>
      </x:c>
      <x:c r="C15" s="24" t="str">
        <x:v>1</x:v>
      </x:c>
      <x:c r="D15" s="24" t="str">
        <x:v>80.00</x:v>
      </x:c>
      <x:c r="E15" s="24" t="str">
        <x:v>2024-01-01</x:v>
      </x:c>
      <x:c r="F15" s="24" t="str">
        <x:v>9999-12-31</x:v>
      </x:c>
      <x:c r="G15" s="24" t="str">
        <x:v>TRUE</x:v>
      </x:c>
      <x:c r="H15" s="24" t="str">
        <x:v>45454</x:v>
      </x:c>
      <x:c r="I15" s="24" t="str"/>
      <x:c r="J15" s="24" t="str">
        <x:v>Not Started</x:v>
      </x:c>
    </x:row>
    <x:row r="16">
      <x:c r="A16" s="24" t="str">
        <x:v>1001</x:v>
      </x:c>
      <x:c r="B16" s="24" t="str">
        <x:v>SVR-010</x:v>
      </x:c>
      <x:c r="C16" s="24" t="str">
        <x:v>1</x:v>
      </x:c>
      <x:c r="D16" s="24" t="str">
        <x:v>0.00</x:v>
      </x:c>
      <x:c r="E16" s="24" t="str">
        <x:v>2024-01-01</x:v>
      </x:c>
      <x:c r="F16" s="24" t="str">
        <x:v>9999-12-31</x:v>
      </x:c>
      <x:c r="G16" s="24" t="str">
        <x:v>TRUE</x:v>
      </x:c>
      <x:c r="H16" s="24" t="str">
        <x:v>0</x:v>
      </x:c>
      <x:c r="I16" s="24" t="str"/>
      <x:c r="J16" s="24" t="str">
        <x:v>Not Started</x:v>
      </x:c>
    </x:row>
    <x:row r="17">
      <x:c r="A17" s="24" t="str">
        <x:v>1101</x:v>
      </x:c>
      <x:c r="B17" s="24" t="str">
        <x:v>SVR-011</x:v>
      </x:c>
      <x:c r="C17" s="24" t="str">
        <x:v>1</x:v>
      </x:c>
      <x:c r="D17" s="24" t="str">
        <x:v>140.00</x:v>
      </x:c>
      <x:c r="E17" s="24" t="str">
        <x:v>2024-01-01</x:v>
      </x:c>
      <x:c r="F17" s="24" t="str">
        <x:v>2025-12-31</x:v>
      </x:c>
      <x:c r="G17" s="24" t="str">
        <x:v>FALSE</x:v>
      </x:c>
      <x:c r="H17" s="24" t="str">
        <x:v>17664</x:v>
      </x:c>
      <x:c r="I17" s="24" t="str"/>
      <x:c r="J17" s="24" t="str">
        <x:v>Not Started</x:v>
      </x:c>
    </x:row>
    <x:row r="18">
      <x:c r="A18" s="24" t="str">
        <x:v>1102</x:v>
      </x:c>
      <x:c r="B18" s="24" t="str">
        <x:v>SVR-011</x:v>
      </x:c>
      <x:c r="C18" s="24" t="str">
        <x:v>2</x:v>
      </x:c>
      <x:c r="D18" s="24" t="str">
        <x:v>150.00</x:v>
      </x:c>
      <x:c r="E18" s="24" t="str">
        <x:v>2026-01-01</x:v>
      </x:c>
      <x:c r="F18" s="24" t="str">
        <x:v>9999-12-31</x:v>
      </x:c>
      <x:c r="G18" s="24" t="str">
        <x:v>TRUE</x:v>
      </x:c>
      <x:c r="H18" s="24" t="str">
        <x:v>27790</x:v>
      </x:c>
      <x:c r="I18" s="24" t="str"/>
      <x:c r="J18" s="24" t="str">
        <x:v>Not Started</x:v>
      </x:c>
    </x:row>
    <x:row r="19">
      <x:c r="A19" s="24" t="str">
        <x:v>1201</x:v>
      </x:c>
      <x:c r="B19" s="24" t="str">
        <x:v>SVR-012</x:v>
      </x:c>
      <x:c r="C19" s="24" t="str">
        <x:v>1</x:v>
      </x:c>
      <x:c r="D19" s="24" t="str">
        <x:v>150.00</x:v>
      </x:c>
      <x:c r="E19" s="24" t="str">
        <x:v>2024-01-01</x:v>
      </x:c>
      <x:c r="F19" s="24" t="str">
        <x:v>2025-12-31</x:v>
      </x:c>
      <x:c r="G19" s="24" t="str">
        <x:v>FALSE</x:v>
      </x:c>
      <x:c r="H19" s="24" t="str">
        <x:v>17664</x:v>
      </x:c>
      <x:c r="I19" s="24" t="str"/>
      <x:c r="J19" s="24" t="str">
        <x:v>Not Started</x:v>
      </x:c>
    </x:row>
    <x:row r="20">
      <x:c r="A20" s="24" t="str">
        <x:v>1202</x:v>
      </x:c>
      <x:c r="B20" s="24" t="str">
        <x:v>SVR-012</x:v>
      </x:c>
      <x:c r="C20" s="24" t="str">
        <x:v>2</x:v>
      </x:c>
      <x:c r="D20" s="24" t="str">
        <x:v>160.00</x:v>
      </x:c>
      <x:c r="E20" s="24" t="str">
        <x:v>2026-01-01</x:v>
      </x:c>
      <x:c r="F20" s="24" t="str">
        <x:v>9999-12-31</x:v>
      </x:c>
      <x:c r="G20" s="24" t="str">
        <x:v>TRUE</x:v>
      </x:c>
      <x:c r="H20" s="24" t="str">
        <x:v>27790</x:v>
      </x:c>
      <x:c r="I20" s="24" t="str"/>
      <x:c r="J20" s="24" t="str">
        <x:v>Not Started</x:v>
      </x:c>
    </x:row>
  </x:sheetData>
  <x:mergeCells>
    <x:mergeCell ref="A1:J1"/>
  </x:mergeCells>
  <x:conditionalFormatting sqref="J4:J20">
    <x:cfRule type="expression" dxfId="36" priority="1">
      <x:formula>J4="Validated"</x:formula>
    </x:cfRule>
    <x:cfRule type="expression" dxfId="37" priority="2">
      <x:formula>J4="Needs Review"</x:formula>
    </x:cfRule>
    <x:cfRule type="expression" dxfId="38" priority="3">
      <x:formula>J4="In Progress"</x:formula>
    </x:cfRule>
  </x:conditionalFormatting>
  <x:dataValidations count="1">
    <x:dataValidation type="list" sqref="J4:J20">
      <x:formula1>"Not Started,In Progress,Validated,Needs Review"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54" hidden="0" customWidth="1"/>
    <x:col min="9" max="9" width="52" hidden="0" customWidth="1"/>
    <x:col min="10" max="10" width="18" hidden="0" customWidth="1"/>
  </x:cols>
  <x:sheetData>
    <x:row r="1" ht="28" customHeight="1">
      <x:c r="A1" s="6" t="str">
        <x:v>Bridge Tables and Many-to-Many Patterns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3" ht="32" customHeight="1">
      <x:c r="A3" s="16" t="str">
        <x:v>Bridge</x:v>
      </x:c>
      <x:c r="B3" s="16" t="str">
        <x:v>LeftKey</x:v>
      </x:c>
      <x:c r="C3" s="16" t="str">
        <x:v>RightKey</x:v>
      </x:c>
      <x:c r="D3" s="16" t="str">
        <x:v>ExpectedRows</x:v>
      </x:c>
      <x:c r="E3" s="16" t="str">
        <x:v>DistinctLeft</x:v>
      </x:c>
      <x:c r="F3" s="16" t="str">
        <x:v>DistinctRight</x:v>
      </x:c>
      <x:c r="G3" s="16" t="str">
        <x:v>DuplicatePairs</x:v>
      </x:c>
      <x:c r="H3" s="16" t="str">
        <x:v>DesignIntent</x:v>
      </x:c>
      <x:c r="I3" s="16" t="str">
        <x:v>LearnerEvidence</x:v>
      </x:c>
      <x:c r="J3" s="16" t="str">
        <x:v>Status</x:v>
      </x:c>
    </x:row>
    <x:row r="4">
      <x:c r="A4" s="24" t="str">
        <x:v>BridgePlantContract</x:v>
      </x:c>
      <x:c r="B4" s="24" t="str">
        <x:v>PlantKey</x:v>
      </x:c>
      <x:c r="C4" s="24" t="str">
        <x:v>ContractKey</x:v>
      </x:c>
      <x:c r="D4" s="24" t="str">
        <x:v>18</x:v>
      </x:c>
      <x:c r="E4" s="24" t="str">
        <x:v>12</x:v>
      </x:c>
      <x:c r="F4" s="24" t="str">
        <x:v>8</x:v>
      </x:c>
      <x:c r="G4" s="24" t="str">
        <x:v>0</x:v>
      </x:c>
      <x:c r="H4" s="24" t="str">
        <x:v>Healthy bridge; avoid direct *:* shortcut</x:v>
      </x:c>
      <x:c r="I4" s="24" t="str"/>
      <x:c r="J4" s="24" t="str">
        <x:v>Not Started</x:v>
      </x:c>
    </x:row>
    <x:row r="5">
      <x:c r="A5" s="24" t="str">
        <x:v>BridgeEquipmentSupplier</x:v>
      </x:c>
      <x:c r="B5" s="24" t="str">
        <x:v>EquipmentKey</x:v>
      </x:c>
      <x:c r="C5" s="24" t="str">
        <x:v>SupplierKey</x:v>
      </x:c>
      <x:c r="D5" s="24" t="str">
        <x:v>42</x:v>
      </x:c>
      <x:c r="E5" s="24" t="str">
        <x:v>36</x:v>
      </x:c>
      <x:c r="F5" s="24" t="n">
        <x:v>11</x:v>
      </x:c>
      <x:c r="G5" s="24" t="str">
        <x:v>0</x:v>
      </x:c>
      <x:c r="H5" s="24" t="str">
        <x:v>Healthy bridge; 42 unique pairs cover 36 equipment items and 11 associated suppliers. DimSupplier still contains 12 suppliers; SupplierKey 11 has no equipment association.</x:v>
      </x:c>
      <x:c r="I5" s="24" t="str"/>
      <x:c r="J5" s="24" t="str">
        <x:v>Not Started</x:v>
      </x:c>
    </x:row>
  </x:sheetData>
  <x:mergeCells>
    <x:mergeCell ref="A1:J1"/>
  </x:mergeCells>
  <x:conditionalFormatting sqref="J4:J5">
    <x:cfRule type="expression" dxfId="39" priority="1">
      <x:formula>J4="Validated"</x:formula>
    </x:cfRule>
    <x:cfRule type="expression" dxfId="40" priority="2">
      <x:formula>J4="Needs Review"</x:formula>
    </x:cfRule>
    <x:cfRule type="expression" dxfId="41" priority="3">
      <x:formula>J4="In Progress"</x:formula>
    </x:cfRule>
  </x:conditionalFormatting>
  <x:dataValidations count="1">
    <x:dataValidation type="list" sqref="J4:J5">
      <x:formula1>"Not Started,In Progress,Validated,Needs Review"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48" hidden="0" customWidth="1"/>
    <x:col min="4" max="4" width="62" hidden="0" customWidth="1"/>
    <x:col min="5" max="5" width="52" hidden="0" customWidth="1"/>
    <x:col min="6" max="6" width="18" hidden="0" customWidth="1"/>
  </x:cols>
  <x:sheetData>
    <x:row r="1" ht="28" customHeight="1">
      <x:c r="A1" s="6" t="str">
        <x:v>Standard, Ragged and Parent-Child Hierarchy Evidence</x:v>
      </x:c>
      <x:c r="B1" s="6"/>
      <x:c r="C1" s="6"/>
      <x:c r="D1" s="6"/>
      <x:c r="E1" s="6"/>
      <x:c r="F1" s="6"/>
    </x:row>
    <x:row r="3" ht="32" customHeight="1">
      <x:c r="A3" s="16" t="str">
        <x:v>HierarchyPattern</x:v>
      </x:c>
      <x:c r="B3" s="16" t="str">
        <x:v>Table/Columns</x:v>
      </x:c>
      <x:c r="C3" s="16" t="str">
        <x:v>Structure</x:v>
      </x:c>
      <x:c r="D3" s="16" t="str">
        <x:v>Module4Rule</x:v>
      </x:c>
      <x:c r="E3" s="16" t="str">
        <x:v>LearnerEvidence</x:v>
      </x:c>
      <x:c r="F3" s="16" t="str">
        <x:v>Status</x:v>
      </x:c>
    </x:row>
    <x:row r="4">
      <x:c r="A4" s="24" t="str">
        <x:v>Standard hierarchy</x:v>
      </x:c>
      <x:c r="B4" s="24" t="str">
        <x:v>DimDate</x:v>
      </x:c>
      <x:c r="C4" s="24" t="str">
        <x:v>Year &gt; Quarter &gt; MonthName &gt; Date</x:v>
      </x:c>
      <x:c r="D4" s="24" t="str">
        <x:v>Sort MonthName by MonthNumber</x:v>
      </x:c>
      <x:c r="E4" s="24" t="str"/>
      <x:c r="F4" s="24" t="str">
        <x:v>Not Started</x:v>
      </x:c>
    </x:row>
    <x:row r="5">
      <x:c r="A5" s="24" t="str">
        <x:v>Plant hierarchy</x:v>
      </x:c>
      <x:c r="B5" s="24" t="str">
        <x:v>DimRegion / DimPlant</x:v>
      </x:c>
      <x:c r="C5" s="24" t="str">
        <x:v>Region &gt; Plant</x:v>
      </x:c>
      <x:c r="D5" s="24" t="str">
        <x:v>Use only if hierarchy improves authoring; hierarchy does not replace model relationships</x:v>
      </x:c>
      <x:c r="E5" s="24" t="str"/>
      <x:c r="F5" s="24" t="str">
        <x:v>Not Started</x:v>
      </x:c>
    </x:row>
    <x:row r="6">
      <x:c r="A6" s="24" t="str">
        <x:v>Equipment levels</x:v>
      </x:c>
      <x:c r="B6" s="24" t="str">
        <x:v>DimEquipment</x:v>
      </x:c>
      <x:c r="C6" s="24" t="str">
        <x:v>Level1Name &gt; Level2Name &gt; Level3Name</x:v>
      </x:c>
      <x:c r="D6" s="24" t="str">
        <x:v>Lower levels can be blank, creating ragged branches</x:v>
      </x:c>
      <x:c r="E6" s="24" t="str"/>
      <x:c r="F6" s="24" t="str">
        <x:v>Not Started</x:v>
      </x:c>
    </x:row>
    <x:row r="7">
      <x:c r="A7" s="24" t="str">
        <x:v>Ragged recognition</x:v>
      </x:c>
      <x:c r="B7" s="24" t="str">
        <x:v>DimEquipment</x:v>
      </x:c>
      <x:c r="C7" s="24" t="str">
        <x:v>Different branch depths</x:v>
      </x:c>
      <x:c r="D7" s="24" t="str">
        <x:v>Recognize raggedness; PATH functions wait for Module Six</x:v>
      </x:c>
      <x:c r="E7" s="24" t="str"/>
      <x:c r="F7" s="24" t="str">
        <x:v>Not Started</x:v>
      </x:c>
    </x:row>
    <x:row r="8">
      <x:c r="A8" s="24" t="str">
        <x:v>Parent-child source</x:v>
      </x:c>
      <x:c r="B8" s="24" t="str">
        <x:v>DimEquipment.ParentEquipmentKey</x:v>
      </x:c>
      <x:c r="C8" s="24" t="str">
        <x:v>EquipmentKey ↔ ParentEquipmentKey</x:v>
      </x:c>
      <x:c r="D8" s="24" t="str">
        <x:v>Inspect source identifiers only; no PATH DAX here</x:v>
      </x:c>
      <x:c r="E8" s="24" t="str"/>
      <x:c r="F8" s="24" t="str">
        <x:v>Not Started</x:v>
      </x:c>
    </x:row>
  </x:sheetData>
  <x:mergeCells>
    <x:mergeCell ref="A1:F1"/>
  </x:mergeCells>
  <x:conditionalFormatting sqref="F4:F8">
    <x:cfRule type="expression" dxfId="42" priority="1">
      <x:formula>F4="Validated"</x:formula>
    </x:cfRule>
    <x:cfRule type="expression" dxfId="43" priority="2">
      <x:formula>F4="Needs Review"</x:formula>
    </x:cfRule>
    <x:cfRule type="expression" dxfId="44" priority="3">
      <x:formula>F4="In Progress"</x:formula>
    </x:cfRule>
  </x:conditionalFormatting>
  <x:dataValidations count="1">
    <x:dataValidation type="list" sqref="F4:F8">
      <x:formula1>"Not Started,In Progress,Validated,Needs Review"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0" hidden="0" customWidth="1"/>
    <x:col min="2" max="2" width="24" hidden="0" customWidth="1"/>
    <x:col min="3" max="3" width="42" hidden="0" customWidth="1"/>
    <x:col min="4" max="4" width="62" hidden="0" customWidth="1"/>
    <x:col min="5" max="5" width="50" hidden="0" customWidth="1"/>
    <x:col min="6" max="6" width="18" hidden="0" customWidth="1"/>
  </x:cols>
  <x:sheetData>
    <x:row r="1" ht="28" customHeight="1">
      <x:c r="A1" s="6" t="str">
        <x:v>Semantic Metadata and Usability Audit</x:v>
      </x:c>
      <x:c r="B1" s="6"/>
      <x:c r="C1" s="6"/>
      <x:c r="D1" s="6"/>
      <x:c r="E1" s="6"/>
      <x:c r="F1" s="6"/>
    </x:row>
    <x:row r="3" ht="32" customHeight="1">
      <x:c r="A3" s="16" t="str">
        <x:v>Object</x:v>
      </x:c>
      <x:c r="B3" s="16" t="str">
        <x:v>Action</x:v>
      </x:c>
      <x:c r="C3" s="16" t="str">
        <x:v>ExpectedValue</x:v>
      </x:c>
      <x:c r="D3" s="16" t="str">
        <x:v>Rationale</x:v>
      </x:c>
      <x:c r="E3" s="16" t="str">
        <x:v>LearnerEvidence</x:v>
      </x:c>
      <x:c r="F3" s="16" t="str">
        <x:v>Status</x:v>
      </x:c>
    </x:row>
    <x:row r="4">
      <x:c r="A4" s="24" t="str">
        <x:v>DimPlant.PlantKey</x:v>
      </x:c>
      <x:c r="B4" s="24" t="str">
        <x:v>Hide</x:v>
      </x:c>
      <x:c r="C4" s="24" t="str">
        <x:v>Yes</x:v>
      </x:c>
      <x:c r="D4" s="24" t="str">
        <x:v>Technical surrogate key; use business attributes in report authoring.</x:v>
      </x:c>
      <x:c r="E4" s="24" t="str"/>
      <x:c r="F4" s="24" t="str">
        <x:v>Not Started</x:v>
      </x:c>
    </x:row>
    <x:row r="5">
      <x:c r="A5" s="24" t="str">
        <x:v>DimPlant.PlantID</x:v>
      </x:c>
      <x:c r="B5" s="24" t="str">
        <x:v>Default summarization</x:v>
      </x:c>
      <x:c r="C5" s="24" t="str">
        <x:v>Do not summarize</x:v>
      </x:c>
      <x:c r="D5" s="24" t="str">
        <x:v>Identifier, not a measure.</x:v>
      </x:c>
      <x:c r="E5" s="24" t="str"/>
      <x:c r="F5" s="24" t="str">
        <x:v>Not Started</x:v>
      </x:c>
    </x:row>
    <x:row r="6">
      <x:c r="A6" s="24" t="str">
        <x:v>DimPlant.GenerationCapacityMW</x:v>
      </x:c>
      <x:c r="B6" s="24" t="str">
        <x:v>Default summarization</x:v>
      </x:c>
      <x:c r="C6" s="24" t="str">
        <x:v>Sum</x:v>
      </x:c>
      <x:c r="D6" s="24" t="str">
        <x:v>Additive across different plants at a point in time; later measures govern time behavior.</x:v>
      </x:c>
      <x:c r="E6" s="24" t="str"/>
      <x:c r="F6" s="24" t="str">
        <x:v>Not Started</x:v>
      </x:c>
    </x:row>
    <x:row r="7">
      <x:c r="A7" s="24" t="str">
        <x:v>DimRegion.RegionName</x:v>
      </x:c>
      <x:c r="B7" s="24" t="str">
        <x:v>Data category</x:v>
      </x:c>
      <x:c r="C7" s="24" t="str">
        <x:v>Place</x:v>
      </x:c>
      <x:c r="D7" s="24" t="str">
        <x:v>Geographic label.</x:v>
      </x:c>
      <x:c r="E7" s="24" t="str"/>
      <x:c r="F7" s="24" t="str">
        <x:v>Not Started</x:v>
      </x:c>
    </x:row>
    <x:row r="8">
      <x:c r="A8" s="24" t="str">
        <x:v>DimRegion.Latitude</x:v>
      </x:c>
      <x:c r="B8" s="24" t="str">
        <x:v>Data category</x:v>
      </x:c>
      <x:c r="C8" s="24" t="str">
        <x:v>Latitude</x:v>
      </x:c>
      <x:c r="D8" s="24" t="str">
        <x:v>Map metadata.</x:v>
      </x:c>
      <x:c r="E8" s="24" t="str"/>
      <x:c r="F8" s="24" t="str">
        <x:v>Not Started</x:v>
      </x:c>
    </x:row>
    <x:row r="9">
      <x:c r="A9" s="24" t="str">
        <x:v>DimRegion.Longitude</x:v>
      </x:c>
      <x:c r="B9" s="24" t="str">
        <x:v>Data category</x:v>
      </x:c>
      <x:c r="C9" s="24" t="str">
        <x:v>Longitude</x:v>
      </x:c>
      <x:c r="D9" s="24" t="str">
        <x:v>Map metadata.</x:v>
      </x:c>
      <x:c r="E9" s="24" t="str"/>
      <x:c r="F9" s="24" t="str">
        <x:v>Not Started</x:v>
      </x:c>
    </x:row>
    <x:row r="10">
      <x:c r="A10" s="24" t="str">
        <x:v>DimRegion.RegionWebsiteURL</x:v>
      </x:c>
      <x:c r="B10" s="24" t="str">
        <x:v>Data category</x:v>
      </x:c>
      <x:c r="C10" s="24" t="str">
        <x:v>Web URL</x:v>
      </x:c>
      <x:c r="D10" s="24" t="str">
        <x:v>URL metadata demonstration.</x:v>
      </x:c>
      <x:c r="E10" s="24" t="str"/>
      <x:c r="F10" s="24" t="str">
        <x:v>Not Started</x:v>
      </x:c>
    </x:row>
    <x:row r="11">
      <x:c r="A11" s="24" t="str">
        <x:v>DimRegion.RegionImageURL</x:v>
      </x:c>
      <x:c r="B11" s="24" t="str">
        <x:v>Data category</x:v>
      </x:c>
      <x:c r="C11" s="24" t="str">
        <x:v>Image URL</x:v>
      </x:c>
      <x:c r="D11" s="24" t="str">
        <x:v>Image URL metadata demonstration.</x:v>
      </x:c>
      <x:c r="E11" s="24" t="str"/>
      <x:c r="F11" s="24" t="str">
        <x:v>Not Started</x:v>
      </x:c>
    </x:row>
    <x:row r="12">
      <x:c r="A12" s="24" t="str">
        <x:v>DimDate.MonthName</x:v>
      </x:c>
      <x:c r="B12" s="24" t="str">
        <x:v>Sort by column</x:v>
      </x:c>
      <x:c r="C12" s="24" t="str">
        <x:v>MonthNumber</x:v>
      </x:c>
      <x:c r="D12" s="24" t="str">
        <x:v>Chronological month ordering.</x:v>
      </x:c>
      <x:c r="E12" s="24" t="str"/>
      <x:c r="F12" s="24" t="str">
        <x:v>Not Started</x:v>
      </x:c>
    </x:row>
    <x:row r="13">
      <x:c r="A13" s="24" t="str">
        <x:v>DimDate.FiscalQuarter</x:v>
      </x:c>
      <x:c r="B13" s="24" t="str">
        <x:v>Sort by column</x:v>
      </x:c>
      <x:c r="C13" s="24" t="str">
        <x:v>FiscalMonthNumber/derived fiscal order</x:v>
      </x:c>
      <x:c r="D13" s="24" t="str">
        <x:v>Fiscal chronology.</x:v>
      </x:c>
      <x:c r="E13" s="24" t="str"/>
      <x:c r="F13" s="24" t="str">
        <x:v>Not Started</x:v>
      </x:c>
    </x:row>
    <x:row r="14">
      <x:c r="A14" s="24" t="str">
        <x:v>FactIntervalGeneration.ActualGenerationMWh</x:v>
      </x:c>
      <x:c r="B14" s="24" t="str">
        <x:v>Format string</x:v>
      </x:c>
      <x:c r="C14" s="24" t="str">
        <x:v>#,0.00 MWh</x:v>
      </x:c>
      <x:c r="D14" s="24" t="str">
        <x:v>Model-level unit presentation.</x:v>
      </x:c>
      <x:c r="E14" s="24" t="str"/>
      <x:c r="F14" s="24" t="str">
        <x:v>Not Started</x:v>
      </x:c>
    </x:row>
    <x:row r="15">
      <x:c r="A15" s="24" t="str">
        <x:v>FactIntervalGeneration.ForecastGenerationMWh</x:v>
      </x:c>
      <x:c r="B15" s="24" t="str">
        <x:v>Format string</x:v>
      </x:c>
      <x:c r="C15" s="24" t="str">
        <x:v>#,0.00 MWh</x:v>
      </x:c>
      <x:c r="D15" s="24" t="str">
        <x:v>Model-level unit presentation.</x:v>
      </x:c>
      <x:c r="E15" s="24" t="str"/>
      <x:c r="F15" s="24" t="str">
        <x:v>Not Started</x:v>
      </x:c>
    </x:row>
    <x:row r="16">
      <x:c r="A16" s="24" t="str">
        <x:v>Semantic model</x:v>
      </x:c>
      <x:c r="B16" s="24" t="str">
        <x:v>Discourage implicit measures</x:v>
      </x:c>
      <x:c r="C16" s="24" t="str">
        <x:v>True</x:v>
      </x:c>
      <x:c r="D16" s="24" t="str">
        <x:v>Professional explicit-measure architecture; calculation teaching starts Module Five.</x:v>
      </x:c>
      <x:c r="E16" s="24" t="str"/>
      <x:c r="F16" s="24" t="str">
        <x:v>Not Started</x:v>
      </x:c>
    </x:row>
    <x:row r="17">
      <x:c r="A17" s="24" t="str">
        <x:v>DimPlant.PlantName</x:v>
      </x:c>
      <x:c r="B17" s="24" t="str">
        <x:v>Synonyms</x:v>
      </x:c>
      <x:c r="C17" s="24" t="str">
        <x:v>Plant; Asset; Facility</x:v>
      </x:c>
      <x:c r="D17" s="24" t="str">
        <x:v>Natural-language metadata awareness.</x:v>
      </x:c>
      <x:c r="E17" s="24" t="str"/>
      <x:c r="F17" s="24" t="str">
        <x:v>Not Started</x:v>
      </x:c>
    </x:row>
    <x:row r="18">
      <x:c r="A18" s="24" t="str">
        <x:v>DimRegion.RegionName</x:v>
      </x:c>
      <x:c r="B18" s="24" t="str">
        <x:v>Synonyms</x:v>
      </x:c>
      <x:c r="C18" s="24" t="str">
        <x:v>Region; Operating region</x:v>
      </x:c>
      <x:c r="D18" s="24" t="str">
        <x:v>Natural-language metadata awareness.</x:v>
      </x:c>
      <x:c r="E18" s="24" t="str"/>
      <x:c r="F18" s="24" t="str">
        <x:v>Not Started</x:v>
      </x:c>
    </x:row>
  </x:sheetData>
  <x:mergeCells>
    <x:mergeCell ref="A1:F1"/>
  </x:mergeCells>
  <x:conditionalFormatting sqref="F4:F18">
    <x:cfRule type="expression" dxfId="45" priority="1">
      <x:formula>F4="Validated"</x:formula>
    </x:cfRule>
    <x:cfRule type="expression" dxfId="46" priority="2">
      <x:formula>F4="Needs Review"</x:formula>
    </x:cfRule>
    <x:cfRule type="expression" dxfId="47" priority="3">
      <x:formula>F4="In Progress"</x:formula>
    </x:cfRule>
  </x:conditionalFormatting>
  <x:dataValidations count="1">
    <x:dataValidation type="list" sqref="F4:F18">
      <x:formula1>"Not Started,In Progress,Validated,Needs Review"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78" hidden="0" customWidth="1"/>
    <x:col min="3" max="3" width="52" hidden="0" customWidth="1"/>
    <x:col min="4" max="4" width="18" hidden="0" customWidth="1"/>
  </x:cols>
  <x:sheetData>
    <x:row r="1" ht="28" customHeight="1">
      <x:c r="A1" s="6" t="str">
        <x:v>Model View Layout Organization</x:v>
      </x:c>
      <x:c r="B1" s="6"/>
      <x:c r="C1" s="6"/>
      <x:c r="D1" s="6"/>
    </x:row>
    <x:row r="3" ht="32" customHeight="1">
      <x:c r="A3" s="16" t="str">
        <x:v>Layout</x:v>
      </x:c>
      <x:c r="B3" s="16" t="str">
        <x:v>Purpose</x:v>
      </x:c>
      <x:c r="C3" s="16" t="str">
        <x:v>LearnerEvidence</x:v>
      </x:c>
      <x:c r="D3" s="16" t="str">
        <x:v>Status</x:v>
      </x:c>
    </x:row>
    <x:row r="4">
      <x:c r="A4" s="24" t="str">
        <x:v>00 Enterprise Overview</x:v>
      </x:c>
      <x:c r="B4" s="24" t="str">
        <x:v>Core dimensions/facts and main filter paths</x:v>
      </x:c>
      <x:c r="C4" s="24" t="str"/>
      <x:c r="D4" s="24" t="str">
        <x:v>Not Started</x:v>
      </x:c>
    </x:row>
    <x:row r="5">
      <x:c r="A5" s="24" t="str">
        <x:v>10 Generation Star</x:v>
      </x:c>
      <x:c r="B5" s="24" t="str">
        <x:v>Interval generation, date/time, plant, region/technology and monthly targets</x:v>
      </x:c>
      <x:c r="C5" s="24" t="str"/>
      <x:c r="D5" s="24" t="str">
        <x:v>Not Started</x:v>
      </x:c>
    </x:row>
    <x:row r="6">
      <x:c r="A6" s="24" t="str">
        <x:v>20 Maintenance &amp; Inspection</x:v>
      </x:c>
      <x:c r="B6" s="24" t="str">
        <x:v>Work orders, tasks, inspections and role-playing dates</x:v>
      </x:c>
      <x:c r="C6" s="24" t="str"/>
      <x:c r="D6" s="24" t="str">
        <x:v>Not Started</x:v>
      </x:c>
    </x:row>
    <x:row r="7">
      <x:c r="A7" s="24" t="str">
        <x:v>30 Plant History SCD2</x:v>
      </x:c>
      <x:c r="B7" s="24" t="str">
        <x:v>Plant business/surrogate keys and historical versions</x:v>
      </x:c>
      <x:c r="C7" s="24" t="str"/>
      <x:c r="D7" s="24" t="str">
        <x:v>Not Started</x:v>
      </x:c>
    </x:row>
    <x:row r="8">
      <x:c r="A8" s="24" t="str">
        <x:v>40 Contracts &amp; Suppliers</x:v>
      </x:c>
      <x:c r="B8" s="24" t="str">
        <x:v>Plant-contract and equipment-supplier bridge patterns</x:v>
      </x:c>
      <x:c r="C8" s="24" t="str"/>
      <x:c r="D8" s="24" t="str">
        <x:v>Not Started</x:v>
      </x:c>
    </x:row>
    <x:row r="9">
      <x:c r="A9" s="24" t="str">
        <x:v>50 Hierarchies &amp; Metadata</x:v>
      </x:c>
      <x:c r="B9" s="24" t="str">
        <x:v>Equipment hierarchy and metadata review</x:v>
      </x:c>
      <x:c r="C9" s="24" t="str"/>
      <x:c r="D9" s="24" t="str">
        <x:v>Not Started</x:v>
      </x:c>
    </x:row>
    <x:row r="10">
      <x:c r="A10" s="24" t="str">
        <x:v>60 Composite &amp; Aggregations</x:v>
      </x:c>
      <x:c r="B10" s="24" t="str">
        <x:v>Storage modes, source groups, limited relationships and aggregation</x:v>
      </x:c>
      <x:c r="C10" s="24" t="str"/>
      <x:c r="D10" s="24" t="str">
        <x:v>Not Started</x:v>
      </x:c>
    </x:row>
    <x:row r="11">
      <x:c r="A11" s="24" t="str">
        <x:v>90 Diagnostics</x:v>
      </x:c>
      <x:c r="B11" s="24" t="str">
        <x:v>Controlled bad relationships and recovery evidence</x:v>
      </x:c>
      <x:c r="C11" s="24" t="str"/>
      <x:c r="D11" s="24" t="str">
        <x:v>Not Started</x:v>
      </x:c>
    </x:row>
  </x:sheetData>
  <x:mergeCells>
    <x:mergeCell ref="A1:D1"/>
  </x:mergeCells>
  <x:conditionalFormatting sqref="D4:D11">
    <x:cfRule type="expression" dxfId="48" priority="1">
      <x:formula>D4="Validated"</x:formula>
    </x:cfRule>
    <x:cfRule type="expression" dxfId="49" priority="2">
      <x:formula>D4="Needs Review"</x:formula>
    </x:cfRule>
    <x:cfRule type="expression" dxfId="50" priority="3">
      <x:formula>D4="In Progress"</x:formula>
    </x:cfRule>
  </x:conditionalFormatting>
  <x:dataValidations count="1">
    <x:dataValidation type="list" sqref="D4:D11">
      <x:formula1>"Not Started,In Progress,Validated,Needs Review"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22" hidden="0" customWidth="1"/>
    <x:col min="3" max="3" width="68" hidden="0" customWidth="1"/>
    <x:col min="4" max="4" width="48" hidden="0" customWidth="1"/>
    <x:col min="5" max="5" width="18" hidden="0" customWidth="1"/>
  </x:cols>
  <x:sheetData>
    <x:row r="1" ht="28" customHeight="1">
      <x:c r="A1" s="6" t="str">
        <x:v>Composite Model Storage Mode Plan</x:v>
      </x:c>
      <x:c r="B1" s="6"/>
      <x:c r="C1" s="6"/>
      <x:c r="D1" s="6"/>
      <x:c r="E1" s="6"/>
    </x:row>
    <x:row r="3" ht="32" customHeight="1">
      <x:c r="A3" s="16" t="str">
        <x:v>Table</x:v>
      </x:c>
      <x:c r="B3" s="16" t="str">
        <x:v>ExpectedMode</x:v>
      </x:c>
      <x:c r="C3" s="16" t="str">
        <x:v>Reason</x:v>
      </x:c>
      <x:c r="D3" s="16" t="str">
        <x:v>LearnerEvidence</x:v>
      </x:c>
      <x:c r="E3" s="16" t="str">
        <x:v>Status</x:v>
      </x:c>
    </x:row>
    <x:row r="4">
      <x:c r="A4" s="24" t="str">
        <x:v>FactIntervalGeneration</x:v>
      </x:c>
      <x:c r="B4" s="24" t="str">
        <x:v>DirectQuery</x:v>
      </x:c>
      <x:c r="C4" s="24" t="str">
        <x:v>Large 500K fact; source-side query evidence</x:v>
      </x:c>
      <x:c r="D4" s="24" t="str"/>
      <x:c r="E4" s="24" t="str">
        <x:v>Not Started</x:v>
      </x:c>
    </x:row>
    <x:row r="5">
      <x:c r="A5" s="24" t="str">
        <x:v>DimDate</x:v>
      </x:c>
      <x:c r="B5" s="24" t="str">
        <x:v>Dual</x:v>
      </x:c>
      <x:c r="C5" s="24" t="str">
        <x:v>Shared dimension for DQ detail and Import aggregation</x:v>
      </x:c>
      <x:c r="D5" s="24" t="str"/>
      <x:c r="E5" s="24" t="str">
        <x:v>Not Started</x:v>
      </x:c>
    </x:row>
    <x:row r="6">
      <x:c r="A6" s="24" t="str">
        <x:v>DimPlant</x:v>
      </x:c>
      <x:c r="B6" s="24" t="str">
        <x:v>Dual</x:v>
      </x:c>
      <x:c r="C6" s="24" t="str">
        <x:v>Shared dimension for DQ detail and Import aggregation</x:v>
      </x:c>
      <x:c r="D6" s="24" t="str"/>
      <x:c r="E6" s="24" t="str">
        <x:v>Not Started</x:v>
      </x:c>
    </x:row>
    <x:row r="7">
      <x:c r="A7" s="24" t="str">
        <x:v>DimRegion</x:v>
      </x:c>
      <x:c r="B7" s="24" t="str">
        <x:v>Dual</x:v>
      </x:c>
      <x:c r="C7" s="24" t="str">
        <x:v>Shared dimension</x:v>
      </x:c>
      <x:c r="D7" s="24" t="str"/>
      <x:c r="E7" s="24" t="str">
        <x:v>Not Started</x:v>
      </x:c>
    </x:row>
    <x:row r="8">
      <x:c r="A8" s="24" t="str">
        <x:v>DimTechnology</x:v>
      </x:c>
      <x:c r="B8" s="24" t="str">
        <x:v>Dual</x:v>
      </x:c>
      <x:c r="C8" s="24" t="str">
        <x:v>Shared dimension</x:v>
      </x:c>
      <x:c r="D8" s="24" t="str"/>
      <x:c r="E8" s="24" t="str">
        <x:v>Not Started</x:v>
      </x:c>
    </x:row>
    <x:row r="9">
      <x:c r="A9" s="24" t="str">
        <x:v>AggGenerationDayPlant</x:v>
      </x:c>
      <x:c r="B9" s="24" t="str">
        <x:v>Import</x:v>
      </x:c>
      <x:c r="C9" s="24" t="str">
        <x:v>User-defined aggregation cache</x:v>
      </x:c>
      <x:c r="D9" s="24" t="str"/>
      <x:c r="E9" s="24" t="str">
        <x:v>Not Started</x:v>
      </x:c>
    </x:row>
    <x:row r="10">
      <x:c r="A10" s="24" t="str">
        <x:v>Other small dimensions/facts</x:v>
      </x:c>
      <x:c r="B10" s="24" t="str">
        <x:v>Import as appropriate</x:v>
      </x:c>
      <x:c r="C10" s="24" t="str">
        <x:v>Keep composite scope focused</x:v>
      </x:c>
      <x:c r="D10" s="24" t="str"/>
      <x:c r="E10" s="24" t="str">
        <x:v>Not Started</x:v>
      </x:c>
    </x:row>
    <x:row r="11">
      <x:c r="A11" s="24" t="str">
        <x:v>CrossSource_Plant_Grouping</x:v>
      </x:c>
      <x:c r="B11" s="24" t="str">
        <x:v>Import / separate source group</x:v>
      </x:c>
      <x:c r="C11" s="24" t="str">
        <x:v>Controlled limited-relationship comparison only</x:v>
      </x:c>
      <x:c r="D11" s="24" t="str"/>
      <x:c r="E11" s="24" t="str">
        <x:v>Not Started</x:v>
      </x:c>
    </x:row>
  </x:sheetData>
  <x:mergeCells>
    <x:mergeCell ref="A1:E1"/>
  </x:mergeCells>
  <x:conditionalFormatting sqref="E4:E11">
    <x:cfRule type="expression" dxfId="51" priority="1">
      <x:formula>E4="Validated"</x:formula>
    </x:cfRule>
    <x:cfRule type="expression" dxfId="52" priority="2">
      <x:formula>E4="Needs Review"</x:formula>
    </x:cfRule>
    <x:cfRule type="expression" dxfId="53" priority="3">
      <x:formula>E4="In Progress"</x:formula>
    </x:cfRule>
  </x:conditionalFormatting>
  <x:dataValidations count="1">
    <x:dataValidation type="list" sqref="E4:E11">
      <x:formula1>"Not Started,In Progress,Validated,Needs Review"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36" hidden="0" customWidth="1"/>
    <x:col min="3" max="3" width="18" hidden="0" customWidth="1"/>
    <x:col min="4" max="4" width="20" hidden="0" customWidth="1"/>
    <x:col min="5" max="5" width="48" hidden="0" customWidth="1"/>
    <x:col min="6" max="6" width="52" hidden="0" customWidth="1"/>
    <x:col min="7" max="7" width="18" hidden="0" customWidth="1"/>
  </x:cols>
  <x:sheetData>
    <x:row r="1" ht="28" customHeight="1">
      <x:c r="A1" s="6" t="str">
        <x:v>Regular vs Limited Relationship Evaluation</x:v>
      </x:c>
      <x:c r="B1" s="6"/>
      <x:c r="C1" s="6"/>
      <x:c r="D1" s="6"/>
      <x:c r="E1" s="6"/>
      <x:c r="F1" s="6"/>
      <x:c r="G1" s="6"/>
    </x:row>
    <x:row r="3" ht="32" customHeight="1">
      <x:c r="A3" s="16" t="str">
        <x:v>Scenario</x:v>
      </x:c>
      <x:c r="B3" s="16" t="str">
        <x:v>SourceGroupState</x:v>
      </x:c>
      <x:c r="C3" s="16" t="str">
        <x:v>Cardinality</x:v>
      </x:c>
      <x:c r="D3" s="16" t="str">
        <x:v>ExpectedEvaluation</x:v>
      </x:c>
      <x:c r="E3" s="16" t="str">
        <x:v>Why</x:v>
      </x:c>
      <x:c r="F3" s="16" t="str">
        <x:v>LearnerEvidence</x:v>
      </x:c>
      <x:c r="G3" s="16" t="str">
        <x:v>Status</x:v>
      </x:c>
    </x:row>
    <x:row r="4">
      <x:c r="A4" s="24" t="str">
        <x:v>DimPlant → FactIntervalGeneration</x:v>
      </x:c>
      <x:c r="B4" s="24" t="str">
        <x:v>Same SQL source group; Dual/DQ</x:v>
      </x:c>
      <x:c r="C4" s="24" t="str">
        <x:v>1:*</x:v>
      </x:c>
      <x:c r="D4" s="24" t="str">
        <x:v>Regular</x:v>
      </x:c>
      <x:c r="E4" s="24" t="str">
        <x:v>Shared source group and valid one side</x:v>
      </x:c>
      <x:c r="F4" s="24" t="str"/>
      <x:c r="G4" s="24" t="str">
        <x:v>Not Started</x:v>
      </x:c>
    </x:row>
    <x:row r="5">
      <x:c r="A5" s="24" t="str">
        <x:v>DimDate → FactIntervalGeneration</x:v>
      </x:c>
      <x:c r="B5" s="24" t="str">
        <x:v>Same SQL source group; Dual/DQ</x:v>
      </x:c>
      <x:c r="C5" s="24" t="str">
        <x:v>1:*</x:v>
      </x:c>
      <x:c r="D5" s="24" t="str">
        <x:v>Regular</x:v>
      </x:c>
      <x:c r="E5" s="24" t="str">
        <x:v>Required for aggregation compatibility</x:v>
      </x:c>
      <x:c r="F5" s="24" t="str"/>
      <x:c r="G5" s="24" t="str">
        <x:v>Not Started</x:v>
      </x:c>
    </x:row>
    <x:row r="6">
      <x:c r="A6" s="24" t="str">
        <x:v>CrossSource_Plant_Grouping ↔ model table</x:v>
      </x:c>
      <x:c r="B6" s="24" t="str">
        <x:v>Separate source group</x:v>
      </x:c>
      <x:c r="C6" s="24" t="str">
        <x:v>Depends on key choice</x:v>
      </x:c>
      <x:c r="D6" s="24" t="str">
        <x:v>Limited</x:v>
      </x:c>
      <x:c r="E6" s="24" t="str">
        <x:v>Cross-source-group relationship</x:v>
      </x:c>
      <x:c r="F6" s="24" t="str"/>
      <x:c r="G6" s="24" t="str">
        <x:v>Not Started</x:v>
      </x:c>
    </x:row>
    <x:row r="7">
      <x:c r="A7" s="24" t="str">
        <x:v>Accidental repeated-key direct relationship</x:v>
      </x:c>
      <x:c r="B7" s="24" t="str">
        <x:v>Any</x:v>
      </x:c>
      <x:c r="C7" s="24" t="str">
        <x:v>*:*</x:v>
      </x:c>
      <x:c r="D7" s="24" t="str">
        <x:v>Limited</x:v>
      </x:c>
      <x:c r="E7" s="24" t="str">
        <x:v>Many-to-many cardinality is limited</x:v>
      </x:c>
      <x:c r="F7" s="24" t="str"/>
      <x:c r="G7" s="24" t="str">
        <x:v>Not Started</x:v>
      </x:c>
    </x:row>
  </x:sheetData>
  <x:mergeCells>
    <x:mergeCell ref="A1:G1"/>
  </x:mergeCells>
  <x:conditionalFormatting sqref="G4:G7">
    <x:cfRule type="expression" dxfId="54" priority="1">
      <x:formula>G4="Validated"</x:formula>
    </x:cfRule>
    <x:cfRule type="expression" dxfId="55" priority="2">
      <x:formula>G4="Needs Review"</x:formula>
    </x:cfRule>
    <x:cfRule type="expression" dxfId="56" priority="3">
      <x:formula>G4="In Progress"</x:formula>
    </x:cfRule>
  </x:conditionalFormatting>
  <x:dataValidations count="1">
    <x:dataValidation type="list" sqref="G4:G7">
      <x:formula1>"Not Started,In Progress,Validated,Needs Review"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26" hidden="0" customWidth="1"/>
    <x:col min="3" max="3" width="72" hidden="0" customWidth="1"/>
    <x:col min="4" max="4" width="54" hidden="0" customWidth="1"/>
    <x:col min="5" max="5" width="18" hidden="0" customWidth="1"/>
  </x:cols>
  <x:sheetData>
    <x:row r="1" ht="28" customHeight="1">
      <x:c r="A1" s="6" t="str">
        <x:v>User-Defined Aggregation Mapping and Source-Workload Evidence</x:v>
      </x:c>
      <x:c r="B1" s="6"/>
      <x:c r="C1" s="6"/>
      <x:c r="D1" s="6"/>
      <x:c r="E1" s="6"/>
    </x:row>
    <x:row r="3" ht="32" customHeight="1">
      <x:c r="A3" s="16" t="str">
        <x:v>Check</x:v>
      </x:c>
      <x:c r="B3" s="16" t="str">
        <x:v>Expected</x:v>
      </x:c>
      <x:c r="C3" s="16" t="str">
        <x:v>Purpose</x:v>
      </x:c>
      <x:c r="D3" s="16" t="str">
        <x:v>LearnerEvidence</x:v>
      </x:c>
      <x:c r="E3" s="16" t="str">
        <x:v>Status</x:v>
      </x:c>
    </x:row>
    <x:row r="4">
      <x:c r="A4" s="24" t="str">
        <x:v>AggGenerationDayPlant rows</x:v>
      </x:c>
      <x:c r="B4" s="24" t="str">
        <x:v>5214</x:v>
      </x:c>
      <x:c r="C4" s="24" t="str">
        <x:v>Import aggregation table</x:v>
      </x:c>
      <x:c r="D4" s="24" t="str"/>
      <x:c r="E4" s="24" t="str">
        <x:v>Not Started</x:v>
      </x:c>
    </x:row>
    <x:row r="5">
      <x:c r="A5" s="24" t="str">
        <x:v>Detail rows represented</x:v>
      </x:c>
      <x:c r="B5" s="24" t="str">
        <x:v>500000</x:v>
      </x:c>
      <x:c r="C5" s="24" t="str">
        <x:v>500K DirectQuery detail fact</x:v>
      </x:c>
      <x:c r="D5" s="24" t="str"/>
      <x:c r="E5" s="24" t="str">
        <x:v>Not Started</x:v>
      </x:c>
    </x:row>
    <x:row r="6">
      <x:c r="A6" s="24" t="str">
        <x:v>ActualGenerationMWh</x:v>
      </x:c>
      <x:c r="B6" s="24" t="str">
        <x:v>10727271.3600</x:v>
      </x:c>
      <x:c r="C6" s="24" t="str">
        <x:v>Must reconcile exactly to detail</x:v>
      </x:c>
      <x:c r="D6" s="24" t="str"/>
      <x:c r="E6" s="24" t="str">
        <x:v>Not Started</x:v>
      </x:c>
    </x:row>
    <x:row r="7">
      <x:c r="A7" s="24" t="str">
        <x:v>ForecastGenerationMWh</x:v>
      </x:c>
      <x:c r="B7" s="24" t="str">
        <x:v>10727272.9111</x:v>
      </x:c>
      <x:c r="C7" s="24" t="str">
        <x:v>Must reconcile exactly to detail</x:v>
      </x:c>
      <x:c r="D7" s="24" t="str"/>
      <x:c r="E7" s="24" t="str">
        <x:v>Not Started</x:v>
      </x:c>
    </x:row>
    <x:row r="8">
      <x:c r="A8" s="24" t="str">
        <x:v>VarianceMWh</x:v>
      </x:c>
      <x:c r="B8" s="24" t="str">
        <x:v>-1.5511</x:v>
      </x:c>
      <x:c r="C8" s="24" t="str">
        <x:v>Must reconcile exactly to detail</x:v>
      </x:c>
      <x:c r="D8" s="24" t="str"/>
      <x:c r="E8" s="24" t="str">
        <x:v>Not Started</x:v>
      </x:c>
    </x:row>
    <x:row r="9">
      <x:c r="A9" s="24" t="str">
        <x:v>Manage aggregations mapping</x:v>
      </x:c>
      <x:c r="B9" s="24" t="str"/>
      <x:c r="C9" s="24" t="str">
        <x:v>Map group-by keys and Sum/Count detail columns deliberately</x:v>
      </x:c>
      <x:c r="D9" s="24" t="str"/>
      <x:c r="E9" s="24" t="str">
        <x:v>Not Started</x:v>
      </x:c>
    </x:row>
    <x:row r="10">
      <x:c r="A10" s="24" t="str">
        <x:v>Aggregation-hit observation</x:v>
      </x:c>
      <x:c r="B10" s="24" t="str"/>
      <x:c r="C10" s="24" t="str">
        <x:v>Use supplied SSMS observer; compatible query should avoid detail workload when aggregation hit occurs</x:v>
      </x:c>
      <x:c r="D10" s="24" t="str"/>
      <x:c r="E10" s="24" t="str">
        <x:v>Not Started</x:v>
      </x:c>
    </x:row>
  </x:sheetData>
  <x:mergeCells>
    <x:mergeCell ref="A1:E1"/>
  </x:mergeCells>
  <x:conditionalFormatting sqref="E4:E10">
    <x:cfRule type="expression" dxfId="57" priority="1">
      <x:formula>E4="Validated"</x:formula>
    </x:cfRule>
    <x:cfRule type="expression" dxfId="58" priority="2">
      <x:formula>E4="Needs Review"</x:formula>
    </x:cfRule>
    <x:cfRule type="expression" dxfId="59" priority="3">
      <x:formula>E4="In Progress"</x:formula>
    </x:cfRule>
  </x:conditionalFormatting>
  <x:dataValidations count="1">
    <x:dataValidation type="list" sqref="E4:E10">
      <x:formula1>"Not Started,In Progress,Validated,Needs Review"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42" hidden="0" customWidth="1"/>
    <x:col min="3" max="3" width="20" hidden="0" customWidth="1"/>
    <x:col min="4" max="4" width="34" hidden="0" customWidth="1"/>
    <x:col min="5" max="5" width="64" hidden="0" customWidth="1"/>
    <x:col min="6" max="6" width="52" hidden="0" customWidth="1"/>
    <x:col min="7" max="7" width="18" hidden="0" customWidth="1"/>
  </x:cols>
  <x:sheetData>
    <x:row r="1" ht="28" customHeight="1">
      <x:c r="A1" s="6" t="str">
        <x:v>Assume Referential Integrity Proof</x:v>
      </x:c>
      <x:c r="B1" s="6"/>
      <x:c r="C1" s="6"/>
      <x:c r="D1" s="6"/>
      <x:c r="E1" s="6"/>
      <x:c r="F1" s="6"/>
      <x:c r="G1" s="6"/>
    </x:row>
    <x:row r="3" ht="32" customHeight="1">
      <x:c r="A3" s="16" t="str">
        <x:v>Scenario</x:v>
      </x:c>
      <x:c r="B3" s="16" t="str">
        <x:v>Source</x:v>
      </x:c>
      <x:c r="C3" s="16" t="str">
        <x:v>ExpectedRows</x:v>
      </x:c>
      <x:c r="D3" s="16" t="str">
        <x:v>IntegrityState</x:v>
      </x:c>
      <x:c r="E3" s="16" t="str">
        <x:v>ExpectedBehavior</x:v>
      </x:c>
      <x:c r="F3" s="16" t="str">
        <x:v>LearnerEvidence</x:v>
      </x:c>
      <x:c r="G3" s="16" t="str">
        <x:v>Status</x:v>
      </x:c>
    </x:row>
    <x:row r="4">
      <x:c r="A4" s="24" t="str">
        <x:v>Healthy DirectQuery relationship</x:v>
      </x:c>
      <x:c r="B4" s="24" t="str">
        <x:v>Model_FactIntervalGeneration</x:v>
      </x:c>
      <x:c r="C4" s="24" t="str">
        <x:v>500000</x:v>
      </x:c>
      <x:c r="D4" s="24" t="str">
        <x:v>0 unmatched PlantKey rows</x:v>
      </x:c>
      <x:c r="E4" s="24" t="str">
        <x:v>Safe to evaluate Assume referential integrity after proof</x:v>
      </x:c>
      <x:c r="F4" s="24" t="str"/>
      <x:c r="G4" s="24" t="str">
        <x:v>Not Started</x:v>
      </x:c>
    </x:row>
    <x:row r="5">
      <x:c r="A5" s="24" t="str">
        <x:v>Broken DirectQuery relationship</x:v>
      </x:c>
      <x:c r="B5" s="24" t="str">
        <x:v>Model_FactIntervalGeneration_RI_Broken</x:v>
      </x:c>
      <x:c r="C5" s="24" t="str">
        <x:v>500005</x:v>
      </x:c>
      <x:c r="D5" s="24" t="str">
        <x:v>5 PlantKey 999 orphan rows</x:v>
      </x:c>
      <x:c r="E5" s="24" t="str">
        <x:v>Inner join returns 500000, so five rows can disappear if RI is assumed</x:v>
      </x:c>
      <x:c r="F5" s="24" t="str"/>
      <x:c r="G5" s="24" t="str">
        <x:v>Not Started</x:v>
      </x:c>
    </x:row>
    <x:row r="6">
      <x:c r="A6" s="24" t="str">
        <x:v>Assume referential integrity OFF</x:v>
      </x:c>
      <x:c r="B6" s="24" t="str">
        <x:v>Broken source variant</x:v>
      </x:c>
      <x:c r="C6" s="24" t="str">
        <x:v>500005</x:v>
      </x:c>
      <x:c r="D6" s="24" t="str">
        <x:v>Integrity violated</x:v>
      </x:c>
      <x:c r="E6" s="24" t="str">
        <x:v>Outer-join semantics can preserve unmatched detail evidence</x:v>
      </x:c>
      <x:c r="F6" s="24" t="str"/>
      <x:c r="G6" s="24" t="str">
        <x:v>Not Started</x:v>
      </x:c>
    </x:row>
    <x:row r="7">
      <x:c r="A7" s="24" t="str">
        <x:v>Assume referential integrity ON</x:v>
      </x:c>
      <x:c r="B7" s="24" t="str">
        <x:v>Broken source variant</x:v>
      </x:c>
      <x:c r="C7" s="24" t="str">
        <x:v>500000 joined</x:v>
      </x:c>
      <x:c r="D7" s="24" t="str">
        <x:v>Integrity violated</x:v>
      </x:c>
      <x:c r="E7" s="24" t="str">
        <x:v>Unsafe because unmatched rows are suppressed</x:v>
      </x:c>
      <x:c r="F7" s="24" t="str"/>
      <x:c r="G7" s="24" t="str">
        <x:v>Not Started</x:v>
      </x:c>
    </x:row>
  </x:sheetData>
  <x:mergeCells>
    <x:mergeCell ref="A1:G1"/>
  </x:mergeCells>
  <x:conditionalFormatting sqref="G4:G7">
    <x:cfRule type="expression" dxfId="60" priority="1">
      <x:formula>G4="Validated"</x:formula>
    </x:cfRule>
    <x:cfRule type="expression" dxfId="61" priority="2">
      <x:formula>G4="Needs Review"</x:formula>
    </x:cfRule>
    <x:cfRule type="expression" dxfId="62" priority="3">
      <x:formula>G4="In Progress"</x:formula>
    </x:cfRule>
  </x:conditionalFormatting>
  <x:dataValidations count="1">
    <x:dataValidation type="list" sqref="G4:G7">
      <x:formula1>"Not Started,In Progress,Validated,Needs Review"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34" hidden="0" customWidth="1"/>
    <x:col min="5" max="5" width="72" hidden="0" customWidth="1"/>
    <x:col min="6" max="6" width="56" hidden="0" customWidth="1"/>
    <x:col min="7" max="7" width="58" hidden="0" customWidth="1"/>
    <x:col min="8" max="8" width="18" hidden="0" customWidth="1"/>
  </x:cols>
  <x:sheetData>
    <x:row r="1" ht="28" customHeight="1">
      <x:c r="A1" s="6" t="str">
        <x:v>Broken Model Diagnosis and Repair Log</x:v>
      </x:c>
      <x:c r="B1" s="6"/>
      <x:c r="C1" s="6"/>
      <x:c r="D1" s="6"/>
      <x:c r="E1" s="6"/>
      <x:c r="F1" s="6"/>
      <x:c r="G1" s="6"/>
      <x:c r="H1" s="6"/>
    </x:row>
    <x:row r="3" ht="32" customHeight="1">
      <x:c r="A3" s="16" t="str">
        <x:v>Scenario</x:v>
      </x:c>
      <x:c r="B3" s="16" t="str">
        <x:v>Source</x:v>
      </x:c>
      <x:c r="C3" s="16" t="str">
        <x:v>ExpectedRows</x:v>
      </x:c>
      <x:c r="D3" s="16" t="str">
        <x:v>ExpectedProblem</x:v>
      </x:c>
      <x:c r="E3" s="16" t="str">
        <x:v>ExpectedProof</x:v>
      </x:c>
      <x:c r="F3" s="16" t="str">
        <x:v>LearnerRootCause</x:v>
      </x:c>
      <x:c r="G3" s="16" t="str">
        <x:v>RepairProof</x:v>
      </x:c>
      <x:c r="H3" s="16" t="str">
        <x:v>Status</x:v>
      </x:c>
    </x:row>
    <x:row r="4">
      <x:c r="A4" s="24" t="str">
        <x:v>Duplicate dimension key</x:v>
      </x:c>
      <x:c r="B4" s="24" t="str">
        <x:v>Duplicate_DimPlant.csv</x:v>
      </x:c>
      <x:c r="C4" s="24" t="str">
        <x:v>13</x:v>
      </x:c>
      <x:c r="D4" s="24" t="str">
        <x:v>1</x:v>
      </x:c>
      <x:c r="E4" s="24" t="str">
        <x:v>PlantKey 3 appears twice; cannot serve as a valid one-side unique key.</x:v>
      </x:c>
      <x:c r="F4" s="24" t="str"/>
      <x:c r="G4" s="24" t="str"/>
      <x:c r="H4" s="24" t="str">
        <x:v>Not Started</x:v>
      </x:c>
    </x:row>
    <x:row r="5">
      <x:c r="A5" s="24" t="str">
        <x:v>Orphan fact key</x:v>
      </x:c>
      <x:c r="B5" s="24" t="str">
        <x:v>Orphan_Fact_Sample.csv</x:v>
      </x:c>
      <x:c r="C5" s="24" t="str">
        <x:v>20</x:v>
      </x:c>
      <x:c r="D5" s="24" t="str">
        <x:v>1</x:v>
      </x:c>
      <x:c r="E5" s="24" t="str">
        <x:v>PlantKey 999 has no DimPlant match; regular relationship exposes blank unknown member.</x:v>
      </x:c>
      <x:c r="F5" s="24" t="str"/>
      <x:c r="G5" s="24" t="str"/>
      <x:c r="H5" s="24" t="str">
        <x:v>Not Started</x:v>
      </x:c>
    </x:row>
    <x:row r="6">
      <x:c r="A6" s="24" t="str">
        <x:v>Missing date coverage</x:v>
      </x:c>
      <x:c r="B6" s="24" t="str">
        <x:v>Missing_Date_Coverage.csv</x:v>
      </x:c>
      <x:c r="C6" s="24" t="str">
        <x:v>6</x:v>
      </x:c>
      <x:c r="D6" s="24" t="str">
        <x:v>1</x:v>
      </x:c>
      <x:c r="E6" s="24" t="str">
        <x:v>DateKey 20270105 is outside DimDate max 20261231.</x:v>
      </x:c>
      <x:c r="F6" s="24" t="str"/>
      <x:c r="G6" s="24" t="str"/>
      <x:c r="H6" s="24" t="str">
        <x:v>Not Started</x:v>
      </x:c>
    </x:row>
    <x:row r="7">
      <x:c r="A7" s="24" t="str">
        <x:v>Accidental many-to-many</x:v>
      </x:c>
      <x:c r="B7" s="24" t="str">
        <x:v>ManyToMany_Left/Right.csv</x:v>
      </x:c>
      <x:c r="C7" s="24" t="str">
        <x:v>8 / 7</x:v>
      </x:c>
      <x:c r="D7" s="24" t="str">
        <x:v>Repeated on both sides</x:v>
      </x:c>
      <x:c r="E7" s="24" t="str">
        <x:v>PlantID repeats in both tables; direct relationship would be *:*.</x:v>
      </x:c>
      <x:c r="F7" s="24" t="str"/>
      <x:c r="G7" s="24" t="str"/>
      <x:c r="H7" s="24" t="str">
        <x:v>Not Started</x:v>
      </x:c>
    </x:row>
    <x:row r="8">
      <x:c r="A8" s="24" t="str">
        <x:v>Assume RI violation</x:v>
      </x:c>
      <x:c r="B8" s="24" t="str">
        <x:v>Model_FactIntervalGeneration_RI_Broken</x:v>
      </x:c>
      <x:c r="C8" s="24" t="str">
        <x:v>500005</x:v>
      </x:c>
      <x:c r="D8" s="24" t="str">
        <x:v>5</x:v>
      </x:c>
      <x:c r="E8" s="24" t="str">
        <x:v>Inner join to DimPlant returns 500000, so 5 orphan rows can disappear when RI is assumed.</x:v>
      </x:c>
      <x:c r="F8" s="24" t="str"/>
      <x:c r="G8" s="24" t="str"/>
      <x:c r="H8" s="24" t="str">
        <x:v>Not Started</x:v>
      </x:c>
    </x:row>
    <x:row r="9">
      <x:c r="A9" s="24" t="str">
        <x:v>Wrong key relationship</x:v>
      </x:c>
      <x:c r="B9" s="24" t="str">
        <x:v>Learner-created</x:v>
      </x:c>
      <x:c r="C9" s="24" t="str">
        <x:v>N/A</x:v>
      </x:c>
      <x:c r="D9" s="24" t="str">
        <x:v>Key-domain mismatch</x:v>
      </x:c>
      <x:c r="E9" s="24" t="str">
        <x:v>Model can be syntactically connected yet analytically wrong; prove from domain/grain</x:v>
      </x:c>
      <x:c r="F9" s="24" t="str"/>
      <x:c r="G9" s="24" t="str"/>
      <x:c r="H9" s="24" t="str">
        <x:v>Not Started</x:v>
      </x:c>
    </x:row>
    <x:row r="10">
      <x:c r="A10" s="24" t="str">
        <x:v>Wrong filter direction</x:v>
      </x:c>
      <x:c r="B10" s="24" t="str">
        <x:v>Learner-created</x:v>
      </x:c>
      <x:c r="C10" s="24" t="str">
        <x:v>N/A</x:v>
      </x:c>
      <x:c r="D10" s="24" t="str">
        <x:v>Propagation failure/overreach</x:v>
      </x:c>
      <x:c r="E10" s="24" t="str">
        <x:v>Trace relationship arrows and matrix/row-count evidence</x:v>
      </x:c>
      <x:c r="F10" s="24" t="str"/>
      <x:c r="G10" s="24" t="str"/>
      <x:c r="H10" s="24" t="str">
        <x:v>Not Started</x:v>
      </x:c>
    </x:row>
    <x:row r="11">
      <x:c r="A11" s="24" t="str">
        <x:v>Wrong active date path</x:v>
      </x:c>
      <x:c r="B11" s="24" t="str">
        <x:v>Learner-created</x:v>
      </x:c>
      <x:c r="C11" s="24" t="str">
        <x:v>N/A</x:v>
      </x:c>
      <x:c r="D11" s="24" t="str">
        <x:v>Wrong date role</x:v>
      </x:c>
      <x:c r="E11" s="24" t="str">
        <x:v>Inspect solid/dashed date relationships and date-result behavior</x:v>
      </x:c>
      <x:c r="F11" s="24" t="str"/>
      <x:c r="G11" s="24" t="str"/>
      <x:c r="H11" s="24" t="str">
        <x:v>Not Started</x:v>
      </x:c>
    </x:row>
    <x:row r="12">
      <x:c r="A12" s="24" t="str">
        <x:v>Ambiguous path</x:v>
      </x:c>
      <x:c r="B12" s="24" t="str">
        <x:v>Learner-created</x:v>
      </x:c>
      <x:c r="C12" s="24" t="str">
        <x:v>N/A</x:v>
      </x:c>
      <x:c r="D12" s="24" t="str">
        <x:v>Multiple competing paths</x:v>
      </x:c>
      <x:c r="E12" s="24" t="str">
        <x:v>Power BI may block the relationship or filtering becomes confusing; remove unnecessary path</x:v>
      </x:c>
      <x:c r="F12" s="24" t="str"/>
      <x:c r="G12" s="24" t="str"/>
      <x:c r="H12" s="24" t="str">
        <x:v>Not Started</x:v>
      </x:c>
    </x:row>
  </x:sheetData>
  <x:mergeCells>
    <x:mergeCell ref="A1:H1"/>
  </x:mergeCells>
  <x:conditionalFormatting sqref="H4:H12">
    <x:cfRule type="expression" dxfId="63" priority="1">
      <x:formula>H4="Validated"</x:formula>
    </x:cfRule>
    <x:cfRule type="expression" dxfId="64" priority="2">
      <x:formula>H4="Needs Review"</x:formula>
    </x:cfRule>
    <x:cfRule type="expression" dxfId="65" priority="3">
      <x:formula>H4="In Progress"</x:formula>
    </x:cfRule>
  </x:conditionalFormatting>
  <x:dataValidations count="1">
    <x:dataValidation type="list" sqref="H4:H12">
      <x:formula1>"Not Started,In Progress,Validated,Needs Review"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42" hidden="0" customWidth="1"/>
    <x:col min="3" max="3" width="72" hidden="0" customWidth="1"/>
    <x:col min="4" max="4" width="52" hidden="0" customWidth="1"/>
    <x:col min="5" max="5" width="18" hidden="0" customWidth="1"/>
  </x:cols>
  <x:sheetData>
    <x:row r="1" ht="28" customHeight="1">
      <x:c r="A1" s="6" t="str">
        <x:v>Basic Structural Model Optimization Audit</x:v>
      </x:c>
      <x:c r="B1" s="6"/>
      <x:c r="C1" s="6"/>
      <x:c r="D1" s="6"/>
      <x:c r="E1" s="6"/>
    </x:row>
    <x:row r="3" ht="32" customHeight="1">
      <x:c r="A3" s="16" t="str">
        <x:v>Item</x:v>
      </x:c>
      <x:c r="B3" s="16" t="str">
        <x:v>ExpectedAction</x:v>
      </x:c>
      <x:c r="C3" s="16" t="str">
        <x:v>Reason</x:v>
      </x:c>
      <x:c r="D3" s="16" t="str">
        <x:v>LearnerEvidence</x:v>
      </x:c>
      <x:c r="E3" s="16" t="str">
        <x:v>Status</x:v>
      </x:c>
    </x:row>
    <x:row r="4">
      <x:c r="A4" s="24" t="str">
        <x:v>Auto date/time</x:v>
      </x:c>
      <x:c r="B4" s="24" t="str">
        <x:v>Disable</x:v>
      </x:c>
      <x:c r="C4" s="24" t="str">
        <x:v>Use governed DimDate instead of hidden per-column date tables</x:v>
      </x:c>
      <x:c r="D4" s="24" t="str"/>
      <x:c r="E4" s="24" t="str">
        <x:v>Not Started</x:v>
      </x:c>
    </x:row>
    <x:row r="5">
      <x:c r="A5" s="24" t="str">
        <x:v>Integer keys</x:v>
      </x:c>
      <x:c r="B5" s="24" t="str">
        <x:v>Use provided integer surrogate keys</x:v>
      </x:c>
      <x:c r="C5" s="24" t="str">
        <x:v>Efficient joins/compression and stable key domain</x:v>
      </x:c>
      <x:c r="D5" s="24" t="str"/>
      <x:c r="E5" s="24" t="str">
        <x:v>Not Started</x:v>
      </x:c>
    </x:row>
    <x:row r="6">
      <x:c r="A6" s="24" t="str">
        <x:v>High-cardinality text</x:v>
      </x:c>
      <x:c r="B6" s="24" t="str">
        <x:v>Hide/remove unused technical fields where safe</x:v>
      </x:c>
      <x:c r="C6" s="24" t="str">
        <x:v>Reduce model size and authoring noise</x:v>
      </x:c>
      <x:c r="D6" s="24" t="str"/>
      <x:c r="E6" s="24" t="str">
        <x:v>Not Started</x:v>
      </x:c>
    </x:row>
    <x:row r="7">
      <x:c r="A7" s="24" t="str">
        <x:v>Date/time split</x:v>
      </x:c>
      <x:c r="B7" s="24" t="str">
        <x:v>Use DateKey + TimeKey on interval fact</x:v>
      </x:c>
      <x:c r="C7" s="24" t="str">
        <x:v>Lower cardinality for common grouping than one timestamp column</x:v>
      </x:c>
      <x:c r="D7" s="24" t="str"/>
      <x:c r="E7" s="24" t="str">
        <x:v>Not Started</x:v>
      </x:c>
    </x:row>
    <x:row r="8">
      <x:c r="A8" s="24" t="str">
        <x:v>Unused columns</x:v>
      </x:c>
      <x:c r="B8" s="24" t="str">
        <x:v>Hide or remove only when safe</x:v>
      </x:c>
      <x:c r="C8" s="24" t="str">
        <x:v>Preserve fields required by later modules or evidence</x:v>
      </x:c>
      <x:c r="D8" s="24" t="str"/>
      <x:c r="E8" s="24" t="str">
        <x:v>Not Started</x:v>
      </x:c>
    </x:row>
    <x:row r="9">
      <x:c r="A9" s="24" t="str">
        <x:v>Default summarization</x:v>
      </x:c>
      <x:c r="B9" s="24" t="str">
        <x:v>Identifiers = Do not summarize</x:v>
      </x:c>
      <x:c r="C9" s="24" t="str">
        <x:v>Prevent accidental aggregation of keys</x:v>
      </x:c>
      <x:c r="D9" s="24" t="str"/>
      <x:c r="E9" s="24" t="str">
        <x:v>Not Started</x:v>
      </x:c>
    </x:row>
    <x:row r="10">
      <x:c r="A10" s="24" t="str">
        <x:v>Model complexity</x:v>
      </x:c>
      <x:c r="B10" s="24" t="str">
        <x:v>Remove redundant relationships</x:v>
      </x:c>
      <x:c r="C10" s="24" t="str">
        <x:v>Reduce ambiguity and cognitive load</x:v>
      </x:c>
      <x:c r="D10" s="24" t="str"/>
      <x:c r="E10" s="24" t="str">
        <x:v>Not Started</x:v>
      </x:c>
    </x:row>
  </x:sheetData>
  <x:mergeCells>
    <x:mergeCell ref="A1:E1"/>
  </x:mergeCells>
  <x:conditionalFormatting sqref="E4:E10">
    <x:cfRule type="expression" dxfId="66" priority="1">
      <x:formula>E4="Validated"</x:formula>
    </x:cfRule>
    <x:cfRule type="expression" dxfId="67" priority="2">
      <x:formula>E4="Needs Review"</x:formula>
    </x:cfRule>
    <x:cfRule type="expression" dxfId="68" priority="3">
      <x:formula>E4="In Progress"</x:formula>
    </x:cfRule>
  </x:conditionalFormatting>
  <x:dataValidations count="1">
    <x:dataValidation type="list" sqref="E4:E10">
      <x:formula1>"Not Started,In Progress,Validated,Needs Review"</x:formula1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24" hidden="0" customWidth="1"/>
    <x:col min="3" max="3" width="24" hidden="0" customWidth="1"/>
    <x:col min="4" max="4" width="46" hidden="0" customWidth="1"/>
    <x:col min="5" max="5" width="18" hidden="0" customWidth="1"/>
  </x:cols>
  <x:sheetData>
    <x:row r="1" ht="28" customHeight="1">
      <x:c r="A1" s="6" t="str">
        <x:v>Final Semantic Model Reconciliation</x:v>
      </x:c>
      <x:c r="B1" s="6"/>
      <x:c r="C1" s="6"/>
      <x:c r="D1" s="6"/>
      <x:c r="E1" s="6"/>
    </x:row>
    <x:row r="3" ht="32" customHeight="1">
      <x:c r="A3" s="16" t="str">
        <x:v>ValidationItem</x:v>
      </x:c>
      <x:c r="B3" s="16" t="str">
        <x:v>Expected</x:v>
      </x:c>
      <x:c r="C3" s="16" t="str">
        <x:v>LearnerResult</x:v>
      </x:c>
      <x:c r="D3" s="16" t="str">
        <x:v>Difference/Comment</x:v>
      </x:c>
      <x:c r="E3" s="16" t="str">
        <x:v>Status</x:v>
      </x:c>
    </x:row>
    <x:row r="4">
      <x:c r="A4" s="24" t="str">
        <x:v>DimRegion rows</x:v>
      </x:c>
      <x:c r="B4" s="24" t="n">
        <x:v>4</x:v>
      </x:c>
      <x:c r="C4" s="24" t="str"/>
      <x:c r="D4" s="24" t="str">
        <x:f>IF(OR(B4="",C4=""),"",IFERROR(C4-B4,"Check text/state"))</x:f>
      </x:c>
      <x:c r="E4" s="24" t="str">
        <x:v>Not Started</x:v>
      </x:c>
    </x:row>
    <x:row r="5">
      <x:c r="A5" s="24" t="str">
        <x:v>DimTechnology rows</x:v>
      </x:c>
      <x:c r="B5" s="24" t="n">
        <x:v>9</x:v>
      </x:c>
      <x:c r="C5" s="24" t="str"/>
      <x:c r="D5" s="24" t="str">
        <x:f>IF(OR(B5="",C5=""),"",IFERROR(C5-B5,"Check text/state"))</x:f>
      </x:c>
      <x:c r="E5" s="24" t="str">
        <x:v>Not Started</x:v>
      </x:c>
    </x:row>
    <x:row r="6">
      <x:c r="A6" s="24" t="str">
        <x:v>DimPlant rows</x:v>
      </x:c>
      <x:c r="B6" s="24" t="n">
        <x:v>12</x:v>
      </x:c>
      <x:c r="C6" s="24" t="str"/>
      <x:c r="D6" s="24" t="str">
        <x:f>IF(OR(B6="",C6=""),"",IFERROR(C6-B6,"Check text/state"))</x:f>
      </x:c>
      <x:c r="E6" s="24" t="str">
        <x:v>Not Started</x:v>
      </x:c>
    </x:row>
    <x:row r="7">
      <x:c r="A7" s="24" t="str">
        <x:v>DimPlantHistory rows</x:v>
      </x:c>
      <x:c r="B7" s="24" t="n">
        <x:v>17</x:v>
      </x:c>
      <x:c r="C7" s="24" t="str"/>
      <x:c r="D7" s="24" t="str">
        <x:f>IF(OR(B7="",C7=""),"",IFERROR(C7-B7,"Check text/state"))</x:f>
      </x:c>
      <x:c r="E7" s="24" t="str">
        <x:v>Not Started</x:v>
      </x:c>
    </x:row>
    <x:row r="8">
      <x:c r="A8" s="24" t="str">
        <x:v>DimDate rows</x:v>
      </x:c>
      <x:c r="B8" s="24" t="n">
        <x:v>1096</x:v>
      </x:c>
      <x:c r="C8" s="24" t="str"/>
      <x:c r="D8" s="24" t="str">
        <x:f>IF(OR(B8="",C8=""),"",IFERROR(C8-B8,"Check text/state"))</x:f>
      </x:c>
      <x:c r="E8" s="24" t="str">
        <x:v>Not Started</x:v>
      </x:c>
    </x:row>
    <x:row r="9">
      <x:c r="A9" s="24" t="str">
        <x:v>DimTime rows</x:v>
      </x:c>
      <x:c r="B9" s="24" t="n">
        <x:v>96</x:v>
      </x:c>
      <x:c r="C9" s="24" t="str"/>
      <x:c r="D9" s="24" t="str">
        <x:f>IF(OR(B9="",C9=""),"",IFERROR(C9-B9,"Check text/state"))</x:f>
      </x:c>
      <x:c r="E9" s="24" t="str">
        <x:v>Not Started</x:v>
      </x:c>
    </x:row>
    <x:row r="10">
      <x:c r="A10" s="24" t="str">
        <x:v>DimEquipment rows</x:v>
      </x:c>
      <x:c r="B10" s="24" t="n">
        <x:v>36</x:v>
      </x:c>
      <x:c r="C10" s="24" t="str"/>
      <x:c r="D10" s="24" t="str">
        <x:f>IF(OR(B10="",C10=""),"",IFERROR(C10-B10,"Check text/state"))</x:f>
      </x:c>
      <x:c r="E10" s="24" t="str">
        <x:v>Not Started</x:v>
      </x:c>
    </x:row>
    <x:row r="11">
      <x:c r="A11" s="24" t="str">
        <x:v>DimSupplier rows</x:v>
      </x:c>
      <x:c r="B11" s="24" t="n">
        <x:v>12</x:v>
      </x:c>
      <x:c r="C11" s="24" t="str"/>
      <x:c r="D11" s="24" t="str">
        <x:f>IF(OR(B11="",C11=""),"",IFERROR(C11-B11,"Check text/state"))</x:f>
      </x:c>
      <x:c r="E11" s="24" t="str">
        <x:v>Not Started</x:v>
      </x:c>
    </x:row>
    <x:row r="12">
      <x:c r="A12" s="24" t="str">
        <x:v>DimContract rows</x:v>
      </x:c>
      <x:c r="B12" s="24" t="n">
        <x:v>8</x:v>
      </x:c>
      <x:c r="C12" s="24" t="str"/>
      <x:c r="D12" s="24" t="str">
        <x:f>IF(OR(B12="",C12=""),"",IFERROR(C12-B12,"Check text/state"))</x:f>
      </x:c>
      <x:c r="E12" s="24" t="str">
        <x:v>Not Started</x:v>
      </x:c>
    </x:row>
    <x:row r="13">
      <x:c r="A13" s="24" t="str">
        <x:v>BridgePlantContract rows</x:v>
      </x:c>
      <x:c r="B13" s="24" t="n">
        <x:v>18</x:v>
      </x:c>
      <x:c r="C13" s="24" t="str"/>
      <x:c r="D13" s="24" t="str">
        <x:f>IF(OR(B13="",C13=""),"",IFERROR(C13-B13,"Check text/state"))</x:f>
      </x:c>
      <x:c r="E13" s="24" t="str">
        <x:v>Not Started</x:v>
      </x:c>
    </x:row>
    <x:row r="14">
      <x:c r="A14" s="24" t="str">
        <x:v>BridgeEquipmentSupplier rows</x:v>
      </x:c>
      <x:c r="B14" s="24" t="n">
        <x:v>42</x:v>
      </x:c>
      <x:c r="C14" s="24" t="str"/>
      <x:c r="D14" s="24" t="str">
        <x:f>IF(OR(B14="",C14=""),"",IFERROR(C14-B14,"Check text/state"))</x:f>
      </x:c>
      <x:c r="E14" s="24" t="str">
        <x:v>Not Started</x:v>
      </x:c>
    </x:row>
    <x:row r="15">
      <x:c r="A15" s="24" t="str">
        <x:v>FactIntervalGeneration rows</x:v>
      </x:c>
      <x:c r="B15" s="24" t="n">
        <x:v>500000</x:v>
      </x:c>
      <x:c r="C15" s="24" t="str"/>
      <x:c r="D15" s="24" t="str">
        <x:f>IF(OR(B15="",C15=""),"",IFERROR(C15-B15,"Check text/state"))</x:f>
      </x:c>
      <x:c r="E15" s="24" t="str">
        <x:v>Not Started</x:v>
      </x:c>
    </x:row>
    <x:row r="16">
      <x:c r="A16" s="24" t="str">
        <x:v>Full interval Actual MWh</x:v>
      </x:c>
      <x:c r="B16" s="24" t="n">
        <x:v>10727271.36</x:v>
      </x:c>
      <x:c r="C16" s="24" t="str"/>
      <x:c r="D16" s="24" t="str">
        <x:f>IF(OR(B16="",C16=""),"",IFERROR(C16-B16,"Check text/state"))</x:f>
      </x:c>
      <x:c r="E16" s="24" t="str">
        <x:v>Not Started</x:v>
      </x:c>
    </x:row>
    <x:row r="17">
      <x:c r="A17" s="24" t="str">
        <x:v>Full interval Forecast MWh</x:v>
      </x:c>
      <x:c r="B17" s="24" t="n">
        <x:v>10727272.9111</x:v>
      </x:c>
      <x:c r="C17" s="24" t="str"/>
      <x:c r="D17" s="24" t="str">
        <x:f>IF(OR(B17="",C17=""),"",IFERROR(C17-B17,"Check text/state"))</x:f>
      </x:c>
      <x:c r="E17" s="24" t="str">
        <x:v>Not Started</x:v>
      </x:c>
    </x:row>
    <x:row r="18">
      <x:c r="A18" s="24" t="str">
        <x:v>Full interval Variance MWh</x:v>
      </x:c>
      <x:c r="B18" s="24" t="n">
        <x:v>-1.5511</x:v>
      </x:c>
      <x:c r="C18" s="24" t="str"/>
      <x:c r="D18" s="24" t="str">
        <x:f>IF(OR(B18="",C18=""),"",IFERROR(C18-B18,"Check text/state"))</x:f>
      </x:c>
      <x:c r="E18" s="24" t="str">
        <x:v>Not Started</x:v>
      </x:c>
    </x:row>
    <x:row r="19">
      <x:c r="A19" s="24" t="str">
        <x:v>Q3 interval rows</x:v>
      </x:c>
      <x:c r="B19" s="24" t="n">
        <x:v>97152</x:v>
      </x:c>
      <x:c r="C19" s="24" t="str"/>
      <x:c r="D19" s="24" t="str">
        <x:f>IF(OR(B19="",C19=""),"",IFERROR(C19-B19,"Check text/state"))</x:f>
      </x:c>
      <x:c r="E19" s="24" t="str">
        <x:v>Not Started</x:v>
      </x:c>
    </x:row>
    <x:row r="20">
      <x:c r="A20" s="24" t="str">
        <x:v>Q3 Actual MWh</x:v>
      </x:c>
      <x:c r="B20" s="24" t="n">
        <x:v>2084353.3725</x:v>
      </x:c>
      <x:c r="C20" s="24" t="str"/>
      <x:c r="D20" s="24" t="str">
        <x:f>IF(OR(B20="",C20=""),"",IFERROR(C20-B20,"Check text/state"))</x:f>
      </x:c>
      <x:c r="E20" s="24" t="str">
        <x:v>Not Started</x:v>
      </x:c>
    </x:row>
    <x:row r="21">
      <x:c r="A21" s="24" t="str">
        <x:v>Q3 Forecast MWh</x:v>
      </x:c>
      <x:c r="B21" s="24" t="n">
        <x:v>2084352.9967</x:v>
      </x:c>
      <x:c r="C21" s="24" t="str"/>
      <x:c r="D21" s="24" t="str">
        <x:f>IF(OR(B21="",C21=""),"",IFERROR(C21-B21,"Check text/state"))</x:f>
      </x:c>
      <x:c r="E21" s="24" t="str">
        <x:v>Not Started</x:v>
      </x:c>
    </x:row>
    <x:row r="22">
      <x:c r="A22" s="24" t="str">
        <x:v>Q3 Variance MWh</x:v>
      </x:c>
      <x:c r="B22" s="24" t="n">
        <x:v>0.3758</x:v>
      </x:c>
      <x:c r="C22" s="24" t="str"/>
      <x:c r="D22" s="24" t="str">
        <x:f>IF(OR(B22="",C22=""),"",IFERROR(C22-B22,"Check text/state"))</x:f>
      </x:c>
      <x:c r="E22" s="24" t="str">
        <x:v>Not Started</x:v>
      </x:c>
    </x:row>
    <x:row r="23">
      <x:c r="A23" s="24" t="str">
        <x:v>Regional target rows</x:v>
      </x:c>
      <x:c r="B23" s="24" t="n">
        <x:v>12</x:v>
      </x:c>
      <x:c r="C23" s="24" t="str"/>
      <x:c r="D23" s="24" t="str">
        <x:f>IF(OR(B23="",C23=""),"",IFERROR(C23-B23,"Check text/state"))</x:f>
      </x:c>
      <x:c r="E23" s="24" t="str">
        <x:v>Not Started</x:v>
      </x:c>
    </x:row>
    <x:row r="24">
      <x:c r="A24" s="24" t="str">
        <x:v>Regional target total MWh</x:v>
      </x:c>
      <x:c r="B24" s="24" t="n">
        <x:v>2097913.95</x:v>
      </x:c>
      <x:c r="C24" s="24" t="str"/>
      <x:c r="D24" s="24" t="str">
        <x:f>IF(OR(B24="",C24=""),"",IFERROR(C24-B24,"Check text/state"))</x:f>
      </x:c>
      <x:c r="E24" s="24" t="str">
        <x:v>Not Started</x:v>
      </x:c>
    </x:row>
    <x:row r="25">
      <x:c r="A25" s="24" t="str">
        <x:v>Battery snapshot rows</x:v>
      </x:c>
      <x:c r="B25" s="24" t="n">
        <x:v>522</x:v>
      </x:c>
      <x:c r="C25" s="24" t="str"/>
      <x:c r="D25" s="24" t="str">
        <x:f>IF(OR(B25="",C25=""),"",IFERROR(C25-B25,"Check text/state"))</x:f>
      </x:c>
      <x:c r="E25" s="24" t="str">
        <x:v>Not Started</x:v>
      </x:c>
    </x:row>
    <x:row r="26">
      <x:c r="A26" s="24" t="str">
        <x:v>Maintenance work orders</x:v>
      </x:c>
      <x:c r="B26" s="24" t="n">
        <x:v>23</x:v>
      </x:c>
      <x:c r="C26" s="24" t="str"/>
      <x:c r="D26" s="24" t="str">
        <x:f>IF(OR(B26="",C26=""),"",IFERROR(C26-B26,"Check text/state"))</x:f>
      </x:c>
      <x:c r="E26" s="24" t="str">
        <x:v>Not Started</x:v>
      </x:c>
    </x:row>
    <x:row r="27">
      <x:c r="A27" s="24" t="str">
        <x:v>Maintenance task rows</x:v>
      </x:c>
      <x:c r="B27" s="24" t="n">
        <x:v>46</x:v>
      </x:c>
      <x:c r="C27" s="24" t="str"/>
      <x:c r="D27" s="24" t="str">
        <x:f>IF(OR(B27="",C27=""),"",IFERROR(C27-B27,"Check text/state"))</x:f>
      </x:c>
      <x:c r="E27" s="24" t="str">
        <x:v>Not Started</x:v>
      </x:c>
    </x:row>
    <x:row r="28">
      <x:c r="A28" s="24" t="str">
        <x:v>Maintenance duration hours</x:v>
      </x:c>
      <x:c r="B28" s="24" t="n">
        <x:v>86</x:v>
      </x:c>
      <x:c r="C28" s="24" t="str"/>
      <x:c r="D28" s="24" t="str">
        <x:f>IF(OR(B28="",C28=""),"",IFERROR(C28-B28,"Check text/state"))</x:f>
      </x:c>
      <x:c r="E28" s="24" t="str">
        <x:v>Not Started</x:v>
      </x:c>
    </x:row>
    <x:row r="29">
      <x:c r="A29" s="24" t="str">
        <x:v>Maintenance cost USD</x:v>
      </x:c>
      <x:c r="B29" s="24" t="n">
        <x:v>50536.5</x:v>
      </x:c>
      <x:c r="C29" s="24" t="str"/>
      <x:c r="D29" s="24" t="str">
        <x:f>IF(OR(B29="",C29=""),"",IFERROR(C29-B29,"Check text/state"))</x:f>
      </x:c>
      <x:c r="E29" s="24" t="str">
        <x:v>Not Started</x:v>
      </x:c>
    </x:row>
    <x:row r="30">
      <x:c r="A30" s="24" t="str">
        <x:v>Inspection schedule rows</x:v>
      </x:c>
      <x:c r="B30" s="24" t="n">
        <x:v>36</x:v>
      </x:c>
      <x:c r="C30" s="24" t="str"/>
      <x:c r="D30" s="24" t="str">
        <x:f>IF(OR(B30="",C30=""),"",IFERROR(C30-B30,"Check text/state"))</x:f>
      </x:c>
      <x:c r="E30" s="24" t="str">
        <x:v>Not Started</x:v>
      </x:c>
    </x:row>
    <x:row r="31">
      <x:c r="A31" s="24" t="str">
        <x:v>Generation forecast rows</x:v>
      </x:c>
      <x:c r="B31" s="24" t="n">
        <x:v>66</x:v>
      </x:c>
      <x:c r="C31" s="24" t="str"/>
      <x:c r="D31" s="24" t="str">
        <x:f>IF(OR(B31="",C31=""),"",IFERROR(C31-B31,"Check text/state"))</x:f>
      </x:c>
      <x:c r="E31" s="24" t="str">
        <x:v>Not Started</x:v>
      </x:c>
    </x:row>
    <x:row r="32">
      <x:c r="A32" s="24" t="str">
        <x:v>Hydro context rows</x:v>
      </x:c>
      <x:c r="B32" s="24" t="n">
        <x:v>184</x:v>
      </x:c>
      <x:c r="C32" s="24" t="str"/>
      <x:c r="D32" s="24" t="str">
        <x:f>IF(OR(B32="",C32=""),"",IFERROR(C32-B32,"Check text/state"))</x:f>
      </x:c>
      <x:c r="E32" s="24" t="str">
        <x:v>Not Started</x:v>
      </x:c>
    </x:row>
    <x:row r="33">
      <x:c r="A33" s="24" t="str">
        <x:v>Aggregation rows</x:v>
      </x:c>
      <x:c r="B33" s="24" t="n">
        <x:v>5214</x:v>
      </x:c>
      <x:c r="C33" s="24" t="str"/>
      <x:c r="D33" s="24" t="str">
        <x:f>IF(OR(B33="",C33=""),"",IFERROR(C33-B33,"Check text/state"))</x:f>
      </x:c>
      <x:c r="E33" s="24" t="str">
        <x:v>Not Started</x:v>
      </x:c>
    </x:row>
    <x:row r="34">
      <x:c r="A34" s="24" t="str">
        <x:v>Healthy unresolved orphan keys</x:v>
      </x:c>
      <x:c r="B34" s="24" t="n">
        <x:v>0</x:v>
      </x:c>
      <x:c r="C34" s="24" t="str"/>
      <x:c r="D34" s="24" t="str">
        <x:f>IF(OR(B34="",C34=""),"",IFERROR(C34-B34,"Check text/state"))</x:f>
      </x:c>
      <x:c r="E34" s="24" t="str">
        <x:v>Not Started</x:v>
      </x:c>
    </x:row>
    <x:row r="35">
      <x:c r="A35" s="24" t="str">
        <x:v>Final ambiguous filter paths</x:v>
      </x:c>
      <x:c r="B35" s="24" t="n">
        <x:v>0</x:v>
      </x:c>
      <x:c r="C35" s="24" t="str"/>
      <x:c r="D35" s="24" t="str">
        <x:f>IF(OR(B35="",C35=""),"",IFERROR(C35-B35,"Check text/state"))</x:f>
      </x:c>
      <x:c r="E35" s="24" t="str">
        <x:v>Not Started</x:v>
      </x:c>
    </x:row>
  </x:sheetData>
  <x:mergeCells>
    <x:mergeCell ref="A1:E1"/>
  </x:mergeCells>
  <x:conditionalFormatting sqref="E4:E35">
    <x:cfRule type="expression" dxfId="69" priority="1">
      <x:formula>E4="Validated"</x:formula>
    </x:cfRule>
    <x:cfRule type="expression" dxfId="70" priority="2">
      <x:formula>E4="Needs Review"</x:formula>
    </x:cfRule>
    <x:cfRule type="expression" dxfId="71" priority="3">
      <x:formula>E4="In Progress"</x:formula>
    </x:cfRule>
  </x:conditionalFormatting>
  <x:dataValidations count="1">
    <x:dataValidation type="list" sqref="E4:E35">
      <x:formula1>"Not Started,In Progress,Validated,Needs Review"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78" hidden="0" customWidth="1"/>
    <x:col min="2" max="2" width="44" hidden="0" customWidth="1"/>
    <x:col min="3" max="3" width="54" hidden="0" customWidth="1"/>
    <x:col min="4" max="4" width="66" hidden="0" customWidth="1"/>
    <x:col min="5" max="5" width="18" hidden="0" customWidth="1"/>
  </x:cols>
  <x:sheetData>
    <x:row r="1" ht="28" customHeight="1">
      <x:c r="A1" s="6" t="str">
        <x:v>Module Four Analytical Challenge</x:v>
      </x:c>
      <x:c r="B1" s="6"/>
      <x:c r="C1" s="6"/>
      <x:c r="D1" s="6"/>
      <x:c r="E1" s="6"/>
    </x:row>
    <x:row r="3" ht="32" customHeight="1">
      <x:c r="A3" s="16" t="str">
        <x:v>Scenario</x:v>
      </x:c>
      <x:c r="B3" s="16" t="str">
        <x:v>LearnerDecision</x:v>
      </x:c>
      <x:c r="C3" s="16" t="str">
        <x:v>Evidence</x:v>
      </x:c>
      <x:c r="D3" s="16" t="str">
        <x:v>ProfessionalReasoning</x:v>
      </x:c>
      <x:c r="E3" s="16" t="str">
        <x:v>Status</x:v>
      </x:c>
    </x:row>
    <x:row r="4">
      <x:c r="A4" s="24" t="str">
        <x:v>A report author proposes relating monthly regional targets directly to the 15-minute generation fact. Approve or reject, and why?</x:v>
      </x:c>
      <x:c r="B4" s="24" t="str"/>
      <x:c r="C4" s="24" t="str"/>
      <x:c r="D4" s="24" t="str"/>
      <x:c r="E4" s="24" t="str">
        <x:v>Not Started</x:v>
      </x:c>
    </x:row>
    <x:row r="5">
      <x:c r="A5" s="24" t="str">
        <x:v>A dimension key has one duplicate and cardinality no longer behaves as expected. What should you investigate before changing the relationship option?</x:v>
      </x:c>
      <x:c r="B5" s="24" t="str"/>
      <x:c r="C5" s="24" t="str"/>
      <x:c r="D5" s="24" t="str"/>
      <x:c r="E5" s="24" t="str">
        <x:v>Not Started</x:v>
      </x:c>
    </x:row>
    <x:row r="6">
      <x:c r="A6" s="24" t="str">
        <x:v>A blank plant appears in a matrix even though DimPlant has no physical blank row. What model condition can create it?</x:v>
      </x:c>
      <x:c r="B6" s="24" t="str"/>
      <x:c r="C6" s="24" t="str"/>
      <x:c r="D6" s="24" t="str"/>
      <x:c r="E6" s="24" t="str">
        <x:v>Not Started</x:v>
      </x:c>
    </x:row>
    <x:row r="7">
      <x:c r="A7" s="24" t="str">
        <x:v>Two date relationships exist from DimDate to maintenance. Why can only one be active by default, and how should the alternative role be handled?</x:v>
      </x:c>
      <x:c r="B7" s="24" t="str"/>
      <x:c r="C7" s="24" t="str"/>
      <x:c r="D7" s="24" t="str"/>
      <x:c r="E7" s="24" t="str">
        <x:v>Not Started</x:v>
      </x:c>
    </x:row>
    <x:row r="8">
      <x:c r="A8" s="24" t="str">
        <x:v>A many-to-many relationship makes a result appear to work. When should you prefer a bridge instead?</x:v>
      </x:c>
      <x:c r="B8" s="24" t="str"/>
      <x:c r="C8" s="24" t="str"/>
      <x:c r="D8" s="24" t="str"/>
      <x:c r="E8" s="24" t="str">
        <x:v>Not Started</x:v>
      </x:c>
    </x:row>
    <x:row r="9">
      <x:c r="A9" s="24" t="str">
        <x:v>A DirectQuery relationship loses five rows when Assume referential integrity is enabled against the controlled bad source. What does this prove?</x:v>
      </x:c>
      <x:c r="B9" s="24" t="str"/>
      <x:c r="C9" s="24" t="str"/>
      <x:c r="D9" s="24" t="str"/>
      <x:c r="E9" s="24" t="str">
        <x:v>Not Started</x:v>
      </x:c>
    </x:row>
    <x:row r="10">
      <x:c r="A10" s="24" t="str">
        <x:v>An aggregation table has the same totals as detail but queries still reach the DirectQuery fact. What architecture/mapping evidence should you inspect?</x:v>
      </x:c>
      <x:c r="B10" s="24" t="str"/>
      <x:c r="C10" s="24" t="str"/>
      <x:c r="D10" s="24" t="str"/>
      <x:c r="E10" s="24" t="str">
        <x:v>Not Started</x:v>
      </x:c>
    </x:row>
    <x:row r="11">
      <x:c r="A11" s="24" t="str">
        <x:v>A local mapping table is related to a SQL model table and the relationship becomes limited. Why?</x:v>
      </x:c>
      <x:c r="B11" s="24" t="str"/>
      <x:c r="C11" s="24" t="str"/>
      <x:c r="D11" s="24" t="str"/>
      <x:c r="E11" s="24" t="str">
        <x:v>Not Started</x:v>
      </x:c>
    </x:row>
    <x:row r="12">
      <x:c r="A12" s="24" t="str">
        <x:v>The model contains auto date tables plus a governed DimDate. Why is that undesirable for the final model?</x:v>
      </x:c>
      <x:c r="B12" s="24" t="str"/>
      <x:c r="C12" s="24" t="str"/>
      <x:c r="D12" s="24" t="str"/>
      <x:c r="E12" s="24" t="str">
        <x:v>Not Started</x:v>
      </x:c>
    </x:row>
    <x:row r="13">
      <x:c r="A13" s="24" t="str">
        <x:v>A teammate wants Both direction on several relationships so slicers 'just work.' What evidence should be required before approving?</x:v>
      </x:c>
      <x:c r="B13" s="24" t="str"/>
      <x:c r="C13" s="24" t="str"/>
      <x:c r="D13" s="24" t="str"/>
      <x:c r="E13" s="24" t="str">
        <x:v>Not Started</x:v>
      </x:c>
    </x:row>
  </x:sheetData>
  <x:mergeCells>
    <x:mergeCell ref="A1:E1"/>
  </x:mergeCells>
  <x:conditionalFormatting sqref="E4:E13">
    <x:cfRule type="expression" dxfId="72" priority="1">
      <x:formula>E4="Validated"</x:formula>
    </x:cfRule>
    <x:cfRule type="expression" dxfId="73" priority="2">
      <x:formula>E4="Needs Review"</x:formula>
    </x:cfRule>
    <x:cfRule type="expression" dxfId="74" priority="3">
      <x:formula>E4="In Progress"</x:formula>
    </x:cfRule>
  </x:conditionalFormatting>
  <x:dataValidations count="1">
    <x:dataValidation type="list" sqref="E4:E13">
      <x:formula1>"Not Started,In Progress,Validated,Needs Review"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50" hidden="0" customWidth="1"/>
    <x:col min="2" max="2" width="76" hidden="0" customWidth="1"/>
    <x:col min="3" max="3" width="18" hidden="0" customWidth="1"/>
    <x:col min="4" max="4" width="48" hidden="0" customWidth="1"/>
    <x:col min="5" max="5" width="4" hidden="0" customWidth="1"/>
    <x:col min="6" max="6" width="28" hidden="0" customWidth="1"/>
    <x:col min="7" max="7" width="18" hidden="0" customWidth="1"/>
  </x:cols>
  <x:sheetData>
    <x:row r="1" ht="28" customHeight="1">
      <x:c r="A1" s="6" t="str">
        <x:v>Module Four Stage Validation Tracker</x:v>
      </x:c>
      <x:c r="B1" s="6"/>
      <x:c r="C1" s="6"/>
      <x:c r="D1" s="6"/>
      <x:c r="E1" s="6"/>
      <x:c r="F1" s="6"/>
      <x:c r="G1" s="6"/>
    </x:row>
    <x:row r="3" ht="32" customHeight="1">
      <x:c r="A3" s="16" t="str">
        <x:v>Checkpoint</x:v>
      </x:c>
      <x:c r="B3" s="16" t="str">
        <x:v>EvidenceRequired</x:v>
      </x:c>
      <x:c r="C3" s="16" t="str">
        <x:v>LearnerStatus</x:v>
      </x:c>
      <x:c r="D3" s="16" t="str">
        <x:v>Notes</x:v>
      </x:c>
      <x:c r="E3" s="16" t="str"/>
      <x:c r="F3" s="16" t="str">
        <x:v>Progress Summary</x:v>
      </x:c>
      <x:c r="G3" s="16" t="str">
        <x:v>Value</x:v>
      </x:c>
    </x:row>
    <x:row r="4">
      <x:c r="A4" s="24" t="str">
        <x:v>Stage Validation 1 — Environment &amp; Source Extension</x:v>
      </x:c>
      <x:c r="B4" s="24" t="str">
        <x:v>Module 3 baseline + Module 4 source counts/fingerprints reconcile</x:v>
      </x:c>
      <x:c r="C4" s="24" t="str">
        <x:v>Not Started</x:v>
      </x:c>
      <x:c r="D4" s="24" t="str"/>
      <x:c r="E4" s="24" t="str"/>
      <x:c r="F4" s="32" t="str">
        <x:v>Validated checkpoints</x:v>
      </x:c>
      <x:c r="G4" s="32" t="n">
        <x:f>COUNTIF(C4:C13,"Validated")</x:f>
        <x:v>0</x:v>
      </x:c>
    </x:row>
    <x:row r="5">
      <x:c r="A5" s="24" t="str">
        <x:v>Stage Validation 2 — Grain, Keys &amp; Fact Classification</x:v>
      </x:c>
      <x:c r="B5" s="24" t="str">
        <x:v>Every table grain documented; one-side keys unique; four fact types classified</x:v>
      </x:c>
      <x:c r="C5" s="24" t="str">
        <x:v>Not Started</x:v>
      </x:c>
      <x:c r="D5" s="24" t="str"/>
      <x:c r="E5" s="24" t="str"/>
      <x:c r="F5" s="32" t="str">
        <x:v>Total checkpoints</x:v>
      </x:c>
      <x:c r="G5" s="32" t="n">
        <x:v>10</x:v>
      </x:c>
    </x:row>
    <x:row r="6">
      <x:c r="A6" s="24" t="str">
        <x:v>Stage Validation 3 — Core Star &amp; Relationship Mechanics</x:v>
      </x:c>
      <x:c r="B6" s="24" t="str">
        <x:v>1:* relationships, direction, active state and dimension-to-fact propagation proven</x:v>
      </x:c>
      <x:c r="C6" s="24" t="str">
        <x:v>Not Started</x:v>
      </x:c>
      <x:c r="D6" s="24" t="str"/>
      <x:c r="E6" s="24" t="str"/>
      <x:c r="F6" s="32" t="str">
        <x:v>Completion %</x:v>
      </x:c>
      <x:c r="G6" s="33" t="n">
        <x:f>IF(G5=0,0,G4/G5)</x:f>
        <x:v>0</x:v>
      </x:c>
    </x:row>
    <x:row r="7">
      <x:c r="A7" s="24" t="str">
        <x:v>Stage Validation 4 — Date/Time, Unknown Member &amp; Role Playing</x:v>
      </x:c>
      <x:c r="B7" s="24" t="str">
        <x:v>Dedicated date/time works; orphan/missing-date and active/inactive roles proven</x:v>
      </x:c>
      <x:c r="C7" s="24" t="str">
        <x:v>Not Started</x:v>
      </x:c>
      <x:c r="D7" s="24" t="str"/>
      <x:c r="E7" s="24" t="str"/>
      <x:c r="F7" s="24" t="str"/>
      <x:c r="G7" s="24" t="str"/>
    </x:row>
    <x:row r="8">
      <x:c r="A8" s="24" t="str">
        <x:v>Stage Validation 5 — Mixed Granularity &amp; Conformed Dimensions</x:v>
      </x:c>
      <x:c r="B8" s="24" t="str">
        <x:v>Targets and actuals reconcile through shared dimensions; no fact-to-fact relationship</x:v>
      </x:c>
      <x:c r="C8" s="24" t="str">
        <x:v>Not Started</x:v>
      </x:c>
      <x:c r="D8" s="24" t="str"/>
      <x:c r="E8" s="24" t="str"/>
      <x:c r="F8" s="24" t="str"/>
      <x:c r="G8" s="24" t="str"/>
    </x:row>
    <x:row r="9">
      <x:c r="A9" s="24" t="str">
        <x:v>Stage Validation 6 — SCD2, Bridges &amp; Hierarchies</x:v>
      </x:c>
      <x:c r="B9" s="24" t="str">
        <x:v>PlantSK history, bridge counts and hierarchy behavior reconcile</x:v>
      </x:c>
      <x:c r="C9" s="24" t="str">
        <x:v>Not Started</x:v>
      </x:c>
      <x:c r="D9" s="24" t="str"/>
      <x:c r="E9" s="24" t="str"/>
      <x:c r="F9" s="24" t="str"/>
      <x:c r="G9" s="24" t="str"/>
    </x:row>
    <x:row r="10">
      <x:c r="A10" s="24" t="str">
        <x:v>Stage Validation 7 — Metadata &amp; Organization</x:v>
      </x:c>
      <x:c r="B10" s="24" t="str">
        <x:v>Names/descriptions/hiding/formats/sort/categories/synonyms/layouts/implicit-measure policy evidenced</x:v>
      </x:c>
      <x:c r="C10" s="24" t="str">
        <x:v>Not Started</x:v>
      </x:c>
      <x:c r="D10" s="24" t="str"/>
      <x:c r="E10" s="24" t="str"/>
      <x:c r="F10" s="24" t="str"/>
      <x:c r="G10" s="24" t="str"/>
    </x:row>
    <x:row r="11">
      <x:c r="A11" s="24" t="str">
        <x:v>Stage Validation 8 — Composite &amp; Relationship Evaluation</x:v>
      </x:c>
      <x:c r="B11" s="24" t="str">
        <x:v>Import/DQ/Dual, source groups, regular/limited and Assume RI behavior proven</x:v>
      </x:c>
      <x:c r="C11" s="24" t="str">
        <x:v>Not Started</x:v>
      </x:c>
      <x:c r="D11" s="24" t="str"/>
      <x:c r="E11" s="24" t="str"/>
      <x:c r="F11" s="24" t="str"/>
      <x:c r="G11" s="24" t="str"/>
    </x:row>
    <x:row r="12">
      <x:c r="A12" s="24" t="str">
        <x:v>Stage Validation 9 — Aggregations &amp; Broken-Model Recovery</x:v>
      </x:c>
      <x:c r="B12" s="24" t="str">
        <x:v>Aggregation mapping/hit evidence plus all deliberate failures diagnosed/repaired</x:v>
      </x:c>
      <x:c r="C12" s="24" t="str">
        <x:v>Not Started</x:v>
      </x:c>
      <x:c r="D12" s="24" t="str"/>
      <x:c r="E12" s="24" t="str"/>
      <x:c r="F12" s="24" t="str"/>
      <x:c r="G12" s="24" t="str"/>
    </x:row>
    <x:row r="13">
      <x:c r="A13" s="24" t="str">
        <x:v>Stage Validation 10 — Final Semantic Model</x:v>
      </x:c>
      <x:c r="B13" s="24" t="str">
        <x:v>Healthy final relationship map, zero unresolved ambiguity and final totals reconcile</x:v>
      </x:c>
      <x:c r="C13" s="24" t="str">
        <x:v>Not Started</x:v>
      </x:c>
      <x:c r="D13" s="24" t="str"/>
      <x:c r="E13" s="24" t="str"/>
      <x:c r="F13" s="24" t="str"/>
      <x:c r="G13" s="24" t="str"/>
    </x:row>
  </x:sheetData>
  <x:mergeCells>
    <x:mergeCell ref="A1:G1"/>
  </x:mergeCells>
  <x:conditionalFormatting sqref="C4:C13">
    <x:cfRule type="expression" dxfId="75" priority="1">
      <x:formula>C4="Validated"</x:formula>
    </x:cfRule>
    <x:cfRule type="expression" dxfId="76" priority="2">
      <x:formula>C4="Needs Review"</x:formula>
    </x:cfRule>
    <x:cfRule type="expression" dxfId="77" priority="3">
      <x:formula>C4="In Progress"</x:formula>
    </x:cfRule>
  </x:conditionalFormatting>
  <x:dataValidations count="1">
    <x:dataValidation type="list" sqref="C4:C13">
      <x:formula1>"Not Started,In Progress,Validated,Needs Review"</x:formula1>
    </x:dataValidation>
  </x:dataValidations>
  <x:pageMargins left="0.7" right="0.7" top="0.75" bottom="0.75" header="0.3" footer="0.3"/>
</x:worksheet>
</file>
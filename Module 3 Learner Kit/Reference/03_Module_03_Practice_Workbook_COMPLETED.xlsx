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fc90bee9f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2f61ecc3d2f64e08"/>
    <x:sheet xmlns:r="http://schemas.openxmlformats.org/officeDocument/2006/relationships" name="Environment_Check" sheetId="2" r:id="R0a7523bb46b54b47"/>
    <x:sheet xmlns:r="http://schemas.openxmlformats.org/officeDocument/2006/relationships" name="Source_Inventory" sheetId="3" r:id="R5c50c2b761bd4693"/>
    <x:sheet xmlns:r="http://schemas.openxmlformats.org/officeDocument/2006/relationships" name="Query_Architecture" sheetId="4" r:id="Rf5e6aa8586c64574"/>
    <x:sheet xmlns:r="http://schemas.openxmlformats.org/officeDocument/2006/relationships" name="Profiling_Evidence" sheetId="5" r:id="R57b14ad071d64c47"/>
    <x:sheet xmlns:r="http://schemas.openxmlformats.org/officeDocument/2006/relationships" name="Type_Locale_Lab" sheetId="6" r:id="Re11ca62931384ff0"/>
    <x:sheet xmlns:r="http://schemas.openxmlformats.org/officeDocument/2006/relationships" name="Cleaning_Audit" sheetId="7" r:id="Rf9d8cfbb1a6747f2"/>
    <x:sheet xmlns:r="http://schemas.openxmlformats.org/officeDocument/2006/relationships" name="Row_Operations" sheetId="8" r:id="R6d0552af3e344a35"/>
    <x:sheet xmlns:r="http://schemas.openxmlformats.org/officeDocument/2006/relationships" name="Column_Operations" sheetId="9" r:id="R5ce839925ba64162"/>
    <x:sheet xmlns:r="http://schemas.openxmlformats.org/officeDocument/2006/relationships" name="Reshape_Pivot_Unpivot" sheetId="10" r:id="R16c72f2a9afa4b3e"/>
    <x:sheet xmlns:r="http://schemas.openxmlformats.org/officeDocument/2006/relationships" name="Join_Reconciliation" sheetId="11" r:id="Rc9ce2b1809de414e"/>
    <x:sheet xmlns:r="http://schemas.openxmlformats.org/officeDocument/2006/relationships" name="Supplier_Matching" sheetId="12" r:id="R0db98d7544bc46aa"/>
    <x:sheet xmlns:r="http://schemas.openxmlformats.org/officeDocument/2006/relationships" name="Folder_Combine" sheetId="13" r:id="R0b237467487048a6"/>
    <x:sheet xmlns:r="http://schemas.openxmlformats.org/officeDocument/2006/relationships" name="Nested_JSON_XML" sheetId="14" r:id="Re5f73c85d76f4348"/>
    <x:sheet xmlns:r="http://schemas.openxmlformats.org/officeDocument/2006/relationships" name="Payload_Parsing" sheetId="15" r:id="Re516f57816f845db"/>
    <x:sheet xmlns:r="http://schemas.openxmlformats.org/officeDocument/2006/relationships" name="API_Pagination" sheetId="16" r:id="R43bc19e5dce34a3d"/>
    <x:sheet xmlns:r="http://schemas.openxmlformats.org/officeDocument/2006/relationships" name="Parameters_Functions" sheetId="17" r:id="Reb99d72f6866470f"/>
    <x:sheet xmlns:r="http://schemas.openxmlformats.org/officeDocument/2006/relationships" name="M_Language_Lab" sheetId="18" r:id="Rec03696a75a84030"/>
    <x:sheet xmlns:r="http://schemas.openxmlformats.org/officeDocument/2006/relationships" name="Folding_Performance" sheetId="19" r:id="Rf277d723408f428b"/>
    <x:sheet xmlns:r="http://schemas.openxmlformats.org/officeDocument/2006/relationships" name="Query_Diagnostics" sheetId="20" r:id="R3a9fc677c79c486a"/>
    <x:sheet xmlns:r="http://schemas.openxmlformats.org/officeDocument/2006/relationships" name="RangeStart_RangeEnd" sheetId="21" r:id="R9106d1460f53457d"/>
    <x:sheet xmlns:r="http://schemas.openxmlformats.org/officeDocument/2006/relationships" name="Schema_Drift_Recovery" sheetId="22" r:id="Rb8897011f4ee4602"/>
    <x:sheet xmlns:r="http://schemas.openxmlformats.org/officeDocument/2006/relationships" name="Privacy_Firewall" sheetId="23" r:id="Re93112db0d7f489e"/>
    <x:sheet xmlns:r="http://schemas.openxmlformats.org/officeDocument/2006/relationships" name="Date_Time_Build" sheetId="24" r:id="Rd4c9b7911da843f1"/>
    <x:sheet xmlns:r="http://schemas.openxmlformats.org/officeDocument/2006/relationships" name="Load_Refresh_Settings" sheetId="25" r:id="Raf98ac0ab52d4060"/>
    <x:sheet xmlns:r="http://schemas.openxmlformats.org/officeDocument/2006/relationships" name="Final_Validation" sheetId="26" r:id="Re2564b430f2f43bc"/>
    <x:sheet xmlns:r="http://schemas.openxmlformats.org/officeDocument/2006/relationships" name="Analytical_Challenge" sheetId="27" r:id="R941e46a760174fc6"/>
    <x:sheet xmlns:r="http://schemas.openxmlformats.org/officeDocument/2006/relationships" name="Checkpoint_Tracker" sheetId="28" r:id="Rdf5777757317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3F8F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1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0fe6de801441b" /><Relationship Type="http://schemas.openxmlformats.org/officeDocument/2006/relationships/theme" Target="/xl/theme/theme1.xml" Id="R317ab9ad7a794f95" /><Relationship Type="http://schemas.openxmlformats.org/officeDocument/2006/relationships/sharedStrings" Target="/xl/sharedStrings.xml" Id="R191fce8bf6c64604" /><Relationship Type="http://schemas.openxmlformats.org/officeDocument/2006/relationships/worksheet" Target="/xl/worksheets/sheet1.xml" Id="R2f61ecc3d2f64e08" /><Relationship Type="http://schemas.openxmlformats.org/officeDocument/2006/relationships/worksheet" Target="/xl/worksheets/sheet2.xml" Id="R0a7523bb46b54b47" /><Relationship Type="http://schemas.openxmlformats.org/officeDocument/2006/relationships/worksheet" Target="/xl/worksheets/sheet3.xml" Id="R5c50c2b761bd4693" /><Relationship Type="http://schemas.openxmlformats.org/officeDocument/2006/relationships/worksheet" Target="/xl/worksheets/sheet4.xml" Id="Rf5e6aa8586c64574" /><Relationship Type="http://schemas.openxmlformats.org/officeDocument/2006/relationships/worksheet" Target="/xl/worksheets/sheet5.xml" Id="R57b14ad071d64c47" /><Relationship Type="http://schemas.openxmlformats.org/officeDocument/2006/relationships/worksheet" Target="/xl/worksheets/sheet6.xml" Id="Re11ca62931384ff0" /><Relationship Type="http://schemas.openxmlformats.org/officeDocument/2006/relationships/worksheet" Target="/xl/worksheets/sheet7.xml" Id="Rf9d8cfbb1a6747f2" /><Relationship Type="http://schemas.openxmlformats.org/officeDocument/2006/relationships/worksheet" Target="/xl/worksheets/sheet8.xml" Id="R6d0552af3e344a35" /><Relationship Type="http://schemas.openxmlformats.org/officeDocument/2006/relationships/worksheet" Target="/xl/worksheets/sheet9.xml" Id="R5ce839925ba64162" /><Relationship Type="http://schemas.openxmlformats.org/officeDocument/2006/relationships/worksheet" Target="/xl/worksheets/sheet10.xml" Id="R16c72f2a9afa4b3e" /><Relationship Type="http://schemas.openxmlformats.org/officeDocument/2006/relationships/worksheet" Target="/xl/worksheets/sheet11.xml" Id="Rc9ce2b1809de414e" /><Relationship Type="http://schemas.openxmlformats.org/officeDocument/2006/relationships/worksheet" Target="/xl/worksheets/sheet12.xml" Id="R0db98d7544bc46aa" /><Relationship Type="http://schemas.openxmlformats.org/officeDocument/2006/relationships/worksheet" Target="/xl/worksheets/sheet13.xml" Id="R0b237467487048a6" /><Relationship Type="http://schemas.openxmlformats.org/officeDocument/2006/relationships/worksheet" Target="/xl/worksheets/sheet14.xml" Id="Re5f73c85d76f4348" /><Relationship Type="http://schemas.openxmlformats.org/officeDocument/2006/relationships/worksheet" Target="/xl/worksheets/sheet15.xml" Id="Re516f57816f845db" /><Relationship Type="http://schemas.openxmlformats.org/officeDocument/2006/relationships/worksheet" Target="/xl/worksheets/sheet16.xml" Id="R43bc19e5dce34a3d" /><Relationship Type="http://schemas.openxmlformats.org/officeDocument/2006/relationships/worksheet" Target="/xl/worksheets/sheet17.xml" Id="Reb99d72f6866470f" /><Relationship Type="http://schemas.openxmlformats.org/officeDocument/2006/relationships/worksheet" Target="/xl/worksheets/sheet18.xml" Id="Rec03696a75a84030" /><Relationship Type="http://schemas.openxmlformats.org/officeDocument/2006/relationships/worksheet" Target="/xl/worksheets/sheet19.xml" Id="Rf277d723408f428b" /><Relationship Type="http://schemas.openxmlformats.org/officeDocument/2006/relationships/worksheet" Target="/xl/worksheets/sheet20.xml" Id="R3a9fc677c79c486a" /><Relationship Type="http://schemas.openxmlformats.org/officeDocument/2006/relationships/worksheet" Target="/xl/worksheets/sheet21.xml" Id="R9106d1460f53457d" /><Relationship Type="http://schemas.openxmlformats.org/officeDocument/2006/relationships/worksheet" Target="/xl/worksheets/sheet22.xml" Id="Rb8897011f4ee4602" /><Relationship Type="http://schemas.openxmlformats.org/officeDocument/2006/relationships/worksheet" Target="/xl/worksheets/sheet23.xml" Id="Re93112db0d7f489e" /><Relationship Type="http://schemas.openxmlformats.org/officeDocument/2006/relationships/worksheet" Target="/xl/worksheets/sheet24.xml" Id="Rd4c9b7911da843f1" /><Relationship Type="http://schemas.openxmlformats.org/officeDocument/2006/relationships/worksheet" Target="/xl/worksheets/sheet25.xml" Id="Raf98ac0ab52d4060" /><Relationship Type="http://schemas.openxmlformats.org/officeDocument/2006/relationships/worksheet" Target="/xl/worksheets/sheet26.xml" Id="Re2564b430f2f43bc" /><Relationship Type="http://schemas.openxmlformats.org/officeDocument/2006/relationships/worksheet" Target="/xl/worksheets/sheet27.xml" Id="R941e46a760174fc6" /><Relationship Type="http://schemas.openxmlformats.org/officeDocument/2006/relationships/worksheet" Target="/xl/worksheets/sheet28.xml" Id="Rdf577775731745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26" customHeight="1">
      <x:c r="A1" s="6" t="str">
        <x:v>SunnyVerse Renewable Group — Module 3 Data Preparation Practice Workbook</x:v>
      </x:c>
      <x:c r="B1" s="6"/>
    </x:row>
    <x:row r="3" ht="30" customHeight="1">
      <x:c r="A3" s="16" t="str">
        <x:v>Item</x:v>
      </x:c>
      <x:c r="B3" s="16" t="str">
        <x:v>Guidance</x:v>
      </x:c>
    </x:row>
    <x:row r="4">
      <x:c r="A4" s="24" t="str">
        <x:v>Purpose</x:v>
      </x:c>
      <x:c r="B4" s="24" t="str">
        <x:v>Record evidence while following 01_Module_03_Detailed_Build_Guide.docx.</x:v>
      </x:c>
    </x:row>
    <x:row r="5">
      <x:c r="A5" s="24" t="str">
        <x:v>Primary question</x:v>
      </x:c>
      <x:c r="B5" s="24" t="str">
        <x:v>How do you turn connected source data into an explicit, repeatable, inspectable, testable and recoverable preparation pipeline?</x:v>
      </x:c>
    </x:row>
    <x:row r="6">
      <x:c r="A6" s="24" t="str">
        <x:v>Primary PBIX</x:v>
      </x:c>
      <x:c r="B6" s="24" t="str">
        <x:v>Module_03_Data_Preparation_Lab.pbix</x:v>
      </x:c>
    </x:row>
    <x:row r="7">
      <x:c r="A7" s="24" t="str">
        <x:v>Performance PBIX</x:v>
      </x:c>
      <x:c r="B7" s="24" t="str">
        <x:v>Module_03_Folding_Performance_Lab.pbix</x:v>
      </x:c>
    </x:row>
    <x:row r="8">
      <x:c r="A8" s="24" t="str">
        <x:v>Database</x:v>
      </x:c>
      <x:c r="B8" s="24" t="str">
        <x:v>SunnyVerseRenewableGroup</x:v>
      </x:c>
    </x:row>
    <x:row r="9">
      <x:c r="A9" s="24" t="str">
        <x:v>SQL performance source</x:v>
      </x:c>
      <x:c r="B9" s="24" t="str">
        <x:v>dbo.IntervalGeneration — 500,000 rows</x:v>
      </x:c>
    </x:row>
    <x:row r="10">
      <x:c r="A10" s="24" t="str">
        <x:v>Folder baseline</x:v>
      </x:c>
      <x:c r="B10" s="24" t="str">
        <x:v>3 monthly generation CSV files — 1,012 rows total</x:v>
      </x:c>
    </x:row>
    <x:row r="11">
      <x:c r="A11" s="24" t="str">
        <x:v>API baseline</x:v>
      </x:c>
      <x:c r="B11" s="24" t="str">
        <x:v>4 deterministic pages × 7 rows = 28 operations</x:v>
      </x:c>
    </x:row>
    <x:row r="12">
      <x:c r="A12" s="24" t="str">
        <x:v>Validation rule</x:v>
      </x:c>
      <x:c r="B12" s="24" t="str">
        <x:v>A transformation completing without an error is not proof that the result is correct.</x:v>
      </x:c>
    </x:row>
    <x:row r="13">
      <x:c r="A13" s="24" t="str">
        <x:v>Controlled failure rule</x:v>
      </x:c>
      <x:c r="B13" s="24" t="str">
        <x:v>Build → Observe → Inspect → Validate → Break → Diagnose → Repair → Revalidate</x:v>
      </x:c>
    </x:row>
    <x:row r="14">
      <x:c r="A14" s="24" t="str">
        <x:v>Cloud requirement</x:v>
      </x:c>
      <x:c r="B14" s="24" t="str">
        <x:v>No account or Fabric trial is required for the mandatory path.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54" hidden="0" customWidth="1"/>
    <x:col min="4" max="4" width="44" hidden="0" customWidth="1"/>
    <x:col min="5" max="5" width="18" hidden="0" customWidth="1"/>
  </x:cols>
  <x:sheetData>
    <x:row r="1" ht="26" customHeight="1">
      <x:c r="A1" s="6" t="str">
        <x:v>Environment, Versions and Frozen Source Baseline</x:v>
      </x:c>
      <x:c r="B1" s="6"/>
      <x:c r="C1" s="6"/>
      <x:c r="D1" s="6"/>
      <x:c r="E1" s="6"/>
    </x:row>
    <x:row r="3" ht="30" customHeight="1">
      <x:c r="A3" s="16" t="str">
        <x:v>Item</x:v>
      </x:c>
      <x:c r="B3" s="16" t="str">
        <x:v>LearnerValue</x:v>
      </x:c>
      <x:c r="C3" s="16" t="str">
        <x:v>Expected/Guidance</x:v>
      </x:c>
      <x:c r="D3" s="16" t="str">
        <x:v>Evidence/Note</x:v>
      </x:c>
      <x:c r="E3" s="16" t="str">
        <x:v>Status</x:v>
      </x:c>
    </x:row>
    <x:row r="4">
      <x:c r="A4" s="24" t="str">
        <x:v>Power BI Desktop version</x:v>
      </x:c>
      <x:c r="B4" s="41" t="str">
        <x:v>Version-sensitive reference build; record the exact installed Desktop build on the learner machine.</x:v>
      </x:c>
      <x:c r="C4" s="24" t="str">
        <x:v>Record exact installed build</x:v>
      </x:c>
      <x:c r="D4" s="41" t="str">
        <x:v>The reference workflow was validated against the documented Module 3 UI path; exact build number remains environment-specific.</x:v>
      </x:c>
      <x:c r="E4" s="24" t="str">
        <x:v>Validated</x:v>
      </x:c>
    </x:row>
    <x:row r="5">
      <x:c r="A5" s="24" t="str">
        <x:v>Power Query Editor opens</x:v>
      </x:c>
      <x:c r="B5" s="41" t="str">
        <x:v>Power Query Editor opened successfully through Transform data.</x:v>
      </x:c>
      <x:c r="C5" s="24" t="str">
        <x:v>Transform data opens the editor</x:v>
      </x:c>
      <x:c r="D5" s="41" t="str">
        <x:v>Queries pane, preview, Query Settings/Applied Steps, Formula Bar, Advanced Editor and Query Dependencies were available.</x:v>
      </x:c>
      <x:c r="E5" s="24" t="str">
        <x:v>Validated</x:v>
      </x:c>
    </x:row>
    <x:row r="6">
      <x:c r="A6" s="24" t="str">
        <x:v>SQL Server service</x:v>
      </x:c>
      <x:c r="B6" s="41" t="str">
        <x:v>Running on the required reference path.</x:v>
      </x:c>
      <x:c r="C6" s="24" t="str">
        <x:v>Expected Running for required path</x:v>
      </x:c>
      <x:c r="D6" s="41" t="str">
        <x:v>A stopped service is a source-availability failure, not a Power Query transformation failure.</x:v>
      </x:c>
      <x:c r="E6" s="24" t="str">
        <x:v>Validated</x:v>
      </x:c>
    </x:row>
    <x:row r="7">
      <x:c r="A7" s="24" t="str">
        <x:v>SQL endpoint</x:v>
      </x:c>
      <x:c r="B7" s="41" t="str">
        <x:v>localhost</x:v>
      </x:c>
      <x:c r="C7" s="24" t="str">
        <x:v>Standard course path = localhost</x:v>
      </x:c>
      <x:c r="D7" s="41" t="str">
        <x:v>The standard inherited Module 2 endpoint remains the reference path unless the learner already validated another instance.</x:v>
      </x:c>
      <x:c r="E7" s="24" t="str">
        <x:v>Validated</x:v>
      </x:c>
    </x:row>
    <x:row r="8">
      <x:c r="A8" s="24" t="str">
        <x:v>Database</x:v>
      </x:c>
      <x:c r="B8" s="41" t="str">
        <x:v>SunnyVerseRenewableGroup</x:v>
      </x:c>
      <x:c r="C8" s="24" t="str">
        <x:v>SunnyVerseRenewableGroup</x:v>
      </x:c>
      <x:c r="D8" s="41" t="str">
        <x:v>Database identity confirmed before transformation work.</x:v>
      </x:c>
      <x:c r="E8" s="24" t="str">
        <x:v>Validated</x:v>
      </x:c>
    </x:row>
    <x:row r="9">
      <x:c r="A9" s="24" t="str">
        <x:v>Regions row count</x:v>
      </x:c>
      <x:c r="B9" s="41" t="str">
        <x:v>4</x:v>
      </x:c>
      <x:c r="C9" s="24" t="str">
        <x:v>4</x:v>
      </x:c>
      <x:c r="D9" s="41" t="str">
        <x:v>Reconciled to the inherited SQL baseline.</x:v>
      </x:c>
      <x:c r="E9" s="24" t="str">
        <x:v>Validated</x:v>
      </x:c>
    </x:row>
    <x:row r="10">
      <x:c r="A10" s="24" t="str">
        <x:v>Technologies row count</x:v>
      </x:c>
      <x:c r="B10" s="41" t="str">
        <x:v>9</x:v>
      </x:c>
      <x:c r="C10" s="24" t="str">
        <x:v>9</x:v>
      </x:c>
      <x:c r="D10" s="41" t="str">
        <x:v>Reconciled to the inherited SQL baseline.</x:v>
      </x:c>
      <x:c r="E10" s="24" t="str">
        <x:v>Validated</x:v>
      </x:c>
    </x:row>
    <x:row r="11">
      <x:c r="A11" s="24" t="str">
        <x:v>Plants row count</x:v>
      </x:c>
      <x:c r="B11" s="41" t="str">
        <x:v>12</x:v>
      </x:c>
      <x:c r="C11" s="24" t="str">
        <x:v>12</x:v>
      </x:c>
      <x:c r="D11" s="41" t="str">
        <x:v>Reconciled to the inherited SQL baseline.</x:v>
      </x:c>
      <x:c r="E11" s="24" t="str">
        <x:v>Validated</x:v>
      </x:c>
    </x:row>
    <x:row r="12">
      <x:c r="A12" s="24" t="str">
        <x:v>IntervalGeneration row count</x:v>
      </x:c>
      <x:c r="B12" s="41" t="str">
        <x:v>500000</x:v>
      </x:c>
      <x:c r="C12" s="24" t="str">
        <x:v>500000</x:v>
      </x:c>
      <x:c r="D12" s="41" t="str">
        <x:v>Reconciled to dbo.IntervalGeneration.</x:v>
      </x:c>
      <x:c r="E12" s="24" t="str">
        <x:v>Validated</x:v>
      </x:c>
    </x:row>
    <x:row r="13">
      <x:c r="A13" s="24" t="str">
        <x:v>BatteryStorageInterval row count</x:v>
      </x:c>
      <x:c r="B13" s="41" t="str">
        <x:v>50000</x:v>
      </x:c>
      <x:c r="C13" s="24" t="str">
        <x:v>50000</x:v>
      </x:c>
      <x:c r="D13" s="41" t="str">
        <x:v>Reconciled to dbo.BatteryStorageInterval.</x:v>
      </x:c>
      <x:c r="E13" s="24" t="str">
        <x:v>Validated</x:v>
      </x:c>
    </x:row>
    <x:row r="14">
      <x:c r="A14" s="24" t="str">
        <x:v>Source_Files working root</x:v>
      </x:c>
      <x:c r="B14" s="41" t="str">
        <x:v>Environment-specific writable working-copy path</x:v>
      </x:c>
      <x:c r="C14" s="24" t="str">
        <x:v>Record writable working-copy path</x:v>
      </x:c>
      <x:c r="D14" s="41" t="str">
        <x:v>The clean packaged source remains untouched; only the working copy is modified during break/repair exercises.</x:v>
      </x:c>
      <x:c r="E14" s="24" t="str">
        <x:v>Validated</x:v>
      </x:c>
    </x:row>
    <x:row r="15">
      <x:c r="A15" s="24" t="str">
        <x:v>Source fingerprints checked</x:v>
      </x:c>
      <x:c r="B15" s="41" t="str">
        <x:v>31 frozen source files verified</x:v>
      </x:c>
      <x:c r="C15" s="24" t="str">
        <x:v>Use Validation/Source_File_SHA256.csv when instructed</x:v>
      </x:c>
      <x:c r="D15" s="41" t="str">
        <x:v>Source_File_SHA256.csv is the integrity authority for the Stage 2 source estate.</x:v>
      </x:c>
      <x:c r="E15" s="24" t="str">
        <x:v>Validated</x:v>
      </x:c>
    </x:row>
    <x:row r="16">
      <x:c r="A16" s="24" t="str">
        <x:v>API path mode</x:v>
      </x:c>
      <x:c r="B16" s="41" t="str">
        <x:v>Local deterministic fallback validated; publish/no-account Web URL remains a packaging endpoint decision.</x:v>
      </x:c>
      <x:c r="C16" s="24" t="str">
        <x:v>Local deterministic pages are mandatory fallback; record live Web endpoint if published</x:v>
      </x:c>
      <x:c r="D16" s="41" t="str">
        <x:v>The four page files preserve the exact pagination contract independent of external hosting.</x:v>
      </x:c>
      <x:c r="E16" s="24" t="str">
        <x:v>Validated</x:v>
      </x:c>
    </x:row>
  </x:sheetData>
  <x:mergeCells>
    <x:mergeCell ref="A1:E1"/>
  </x:mergeCells>
  <x:conditionalFormatting sqref="E4:E16">
    <x:cfRule type="expression" dxfId="0" priority="1">
      <x:formula>E4="Validated"</x:formula>
    </x:cfRule>
    <x:cfRule type="expression" dxfId="1" priority="2">
      <x:formula>E4="Needs Review"</x:formula>
    </x:cfRule>
    <x:cfRule type="expression" dxfId="2" priority="3">
      <x:formula>E4="In Progress"</x:formula>
    </x:cfRule>
  </x:conditionalFormatting>
  <x:dataValidations count="1">
    <x:dataValidation type="list" sqref="E4:E16">
      <x:formula1>"Not Started,In Progress,Validated,Needs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24" hidden="0" customWidth="1"/>
    <x:col min="5" max="5" width="52" hidden="0" customWidth="1"/>
    <x:col min="6" max="6" width="18" hidden="0" customWidth="1"/>
  </x:cols>
  <x:sheetData>
    <x:row r="1" ht="26" customHeight="1">
      <x:c r="A1" s="6" t="str">
        <x:v>Frozen Source Inventory</x:v>
      </x:c>
      <x:c r="B1" s="6"/>
      <x:c r="C1" s="6"/>
      <x:c r="D1" s="6"/>
      <x:c r="E1" s="6"/>
      <x:c r="F1" s="6"/>
    </x:row>
    <x:row r="3" ht="30" customHeight="1">
      <x:c r="A3" s="16" t="str">
        <x:v>Area</x:v>
      </x:c>
      <x:c r="B3" s="16" t="str">
        <x:v>File/Object</x:v>
      </x:c>
      <x:c r="C3" s="16" t="str">
        <x:v>Expected Shape</x:v>
      </x:c>
      <x:c r="D3" s="16" t="str">
        <x:v>LearnerObserved</x:v>
      </x:c>
      <x:c r="E3" s="16" t="str">
        <x:v>Fingerprint/Note</x:v>
      </x:c>
      <x:c r="F3" s="16" t="str">
        <x:v>Status</x:v>
      </x:c>
    </x:row>
    <x:row r="4">
      <x:c r="A4" s="24" t="str">
        <x:v>SQL</x:v>
      </x:c>
      <x:c r="B4" s="24" t="str">
        <x:v>dbo.Regions</x:v>
      </x:c>
      <x:c r="C4" s="24" t="str">
        <x:v>4 rows</x:v>
      </x:c>
      <x:c r="D4" s="41" t="str">
        <x:v>4 rows</x:v>
      </x:c>
      <x:c r="E4" s="41" t="str">
        <x:v>Inherited SQL source; source identity verified.</x:v>
      </x:c>
      <x:c r="F4" s="24" t="str">
        <x:v>Validated</x:v>
      </x:c>
    </x:row>
    <x:row r="5">
      <x:c r="A5" s="24" t="str">
        <x:v>SQL</x:v>
      </x:c>
      <x:c r="B5" s="24" t="str">
        <x:v>dbo.Technologies</x:v>
      </x:c>
      <x:c r="C5" s="24" t="str">
        <x:v>9 rows</x:v>
      </x:c>
      <x:c r="D5" s="41" t="str">
        <x:v>9 rows</x:v>
      </x:c>
      <x:c r="E5" s="41" t="str">
        <x:v>Inherited SQL source; technology reference preserved.</x:v>
      </x:c>
      <x:c r="F5" s="24" t="str">
        <x:v>Validated</x:v>
      </x:c>
    </x:row>
    <x:row r="6">
      <x:c r="A6" s="24" t="str">
        <x:v>SQL</x:v>
      </x:c>
      <x:c r="B6" s="24" t="str">
        <x:v>dbo.Plants</x:v>
      </x:c>
      <x:c r="C6" s="24" t="str">
        <x:v>12 rows</x:v>
      </x:c>
      <x:c r="D6" s="41" t="str">
        <x:v>12 rows</x:v>
      </x:c>
      <x:c r="E6" s="41" t="str">
        <x:v>Inherited diversified portfolio.</x:v>
      </x:c>
      <x:c r="F6" s="24" t="str">
        <x:v>Validated</x:v>
      </x:c>
    </x:row>
    <x:row r="7">
      <x:c r="A7" s="24" t="str">
        <x:v>SQL</x:v>
      </x:c>
      <x:c r="B7" s="24" t="str">
        <x:v>dbo.IntervalGeneration</x:v>
      </x:c>
      <x:c r="C7" s="24" t="str">
        <x:v>500000 rows</x:v>
      </x:c>
      <x:c r="D7" s="41" t="str">
        <x:v>500000 rows</x:v>
      </x:c>
      <x:c r="E7" s="41" t="str">
        <x:v>Performance/folding source; not the 1,012-row folder source.</x:v>
      </x:c>
      <x:c r="F7" s="24" t="str">
        <x:v>Validated</x:v>
      </x:c>
    </x:row>
    <x:row r="8">
      <x:c r="A8" s="24" t="str">
        <x:v>SQL</x:v>
      </x:c>
      <x:c r="B8" s="24" t="str">
        <x:v>dbo.BatteryStorageInterval</x:v>
      </x:c>
      <x:c r="C8" s="24" t="str">
        <x:v>50000 rows</x:v>
      </x:c>
      <x:c r="D8" s="41" t="str">
        <x:v>50000 rows</x:v>
      </x:c>
      <x:c r="E8" s="41" t="str">
        <x:v>Inherited storage interval source.</x:v>
      </x:c>
      <x:c r="F8" s="24" t="str">
        <x:v>Validated</x:v>
      </x:c>
    </x:row>
    <x:row r="9">
      <x:c r="A9" s="24" t="str">
        <x:v>Maintenance</x:v>
      </x:c>
      <x:c r="B9" s="24" t="str">
        <x:v>Maintenance_Logs_Messy.csv</x:v>
      </x:c>
      <x:c r="C9" s="24" t="str">
        <x:v>26 physical rows</x:v>
      </x:c>
      <x:c r="D9" s="41" t="str">
        <x:v>26 physical rows</x:v>
      </x:c>
      <x:c r="E9" s="41" t="str">
        <x:v>25 nonblank rows + 1 blank physical row.</x:v>
      </x:c>
      <x:c r="F9" s="24" t="str">
        <x:v>Validated</x:v>
      </x:c>
    </x:row>
    <x:row r="10">
      <x:c r="A10" s="24" t="str">
        <x:v>Suppliers</x:v>
      </x:c>
      <x:c r="B10" s="24" t="str">
        <x:v>Supplier_Master.csv</x:v>
      </x:c>
      <x:c r="C10" s="24" t="str">
        <x:v>12 rows</x:v>
      </x:c>
      <x:c r="D10" s="41" t="str">
        <x:v>12 rows</x:v>
      </x:c>
      <x:c r="E10" s="41" t="str">
        <x:v>Canonical supplier master.</x:v>
      </x:c>
      <x:c r="F10" s="24" t="str">
        <x:v>Validated</x:v>
      </x:c>
    </x:row>
    <x:row r="11">
      <x:c r="A11" s="24" t="str">
        <x:v>Suppliers</x:v>
      </x:c>
      <x:c r="B11" s="24" t="str">
        <x:v>Supplier_Activity_Messy.csv</x:v>
      </x:c>
      <x:c r="C11" s="24" t="str">
        <x:v>36 rows</x:v>
      </x:c>
      <x:c r="D11" s="41" t="str">
        <x:v>36 rows</x:v>
      </x:c>
      <x:c r="E11" s="41" t="str">
        <x:v>12 exact + 8 transformation + 10 fuzzy + 6 unmatched ground-truth outcomes.</x:v>
      </x:c>
      <x:c r="F11" s="24" t="str">
        <x:v>Validated</x:v>
      </x:c>
    </x:row>
    <x:row r="12">
      <x:c r="A12" s="24" t="str">
        <x:v>Suppliers</x:v>
      </x:c>
      <x:c r="B12" s="24" t="str">
        <x:v>Supplier_Name_Transformations.csv</x:v>
      </x:c>
      <x:c r="C12" s="24" t="str">
        <x:v>8 mappings</x:v>
      </x:c>
      <x:c r="D12" s="41" t="str">
        <x:v>8 mappings</x:v>
      </x:c>
      <x:c r="E12" s="41" t="str">
        <x:v>Used before fuzzy matching.</x:v>
      </x:c>
      <x:c r="F12" s="24" t="str">
        <x:v>Validated</x:v>
      </x:c>
    </x:row>
    <x:row r="13">
      <x:c r="A13" s="24" t="str">
        <x:v>Targets</x:v>
      </x:c>
      <x:c r="B13" s="24" t="str">
        <x:v>Monthly_Targets_Wide.xlsx</x:v>
      </x:c>
      <x:c r="C13" s="24" t="str">
        <x:v>23 wide rows</x:v>
      </x:c>
      <x:c r="D13" s="41" t="str">
        <x:v>23 wide rows</x:v>
      </x:c>
      <x:c r="E13" s="41" t="str">
        <x:v>11 generation-target rows + 12 availability-target rows.</x:v>
      </x:c>
      <x:c r="F13" s="24" t="str">
        <x:v>Validated</x:v>
      </x:c>
    </x:row>
    <x:row r="14">
      <x:c r="A14" s="24" t="str">
        <x:v>Folder</x:v>
      </x:c>
      <x:c r="B14" s="24" t="str">
        <x:v>2026_07_Generation.csv</x:v>
      </x:c>
      <x:c r="C14" s="24" t="str">
        <x:v>341 rows</x:v>
      </x:c>
      <x:c r="D14" s="41" t="str">
        <x:v>341 rows</x:v>
      </x:c>
      <x:c r="E14" s="41" t="str">
        <x:v>Healthy July extract.</x:v>
      </x:c>
      <x:c r="F14" s="24" t="str">
        <x:v>Validated</x:v>
      </x:c>
    </x:row>
    <x:row r="15">
      <x:c r="A15" s="24" t="str">
        <x:v>Folder</x:v>
      </x:c>
      <x:c r="B15" s="24" t="str">
        <x:v>2026_08_Generation.csv</x:v>
      </x:c>
      <x:c r="C15" s="24" t="str">
        <x:v>341 rows</x:v>
      </x:c>
      <x:c r="D15" s="41" t="str">
        <x:v>341 rows</x:v>
      </x:c>
      <x:c r="E15" s="41" t="str">
        <x:v>Healthy August extract.</x:v>
      </x:c>
      <x:c r="F15" s="24" t="str">
        <x:v>Validated</x:v>
      </x:c>
    </x:row>
    <x:row r="16">
      <x:c r="A16" s="24" t="str">
        <x:v>Folder</x:v>
      </x:c>
      <x:c r="B16" s="24" t="str">
        <x:v>2026_09_Generation.csv</x:v>
      </x:c>
      <x:c r="C16" s="24" t="str">
        <x:v>330 rows</x:v>
      </x:c>
      <x:c r="D16" s="41" t="str">
        <x:v>330 rows</x:v>
      </x:c>
      <x:c r="E16" s="41" t="str">
        <x:v>Healthy September extract.</x:v>
      </x:c>
      <x:c r="F16" s="24" t="str">
        <x:v>Validated</x:v>
      </x:c>
    </x:row>
    <x:row r="17">
      <x:c r="A17" s="24" t="str">
        <x:v>Nested</x:v>
      </x:c>
      <x:c r="B17" s="24" t="str">
        <x:v>Weather_Nested.json</x:v>
      </x:c>
      <x:c r="C17" s="24" t="str">
        <x:v>20 observations / 6 alerts</x:v>
      </x:c>
      <x:c r="D17" s="41" t="str">
        <x:v>20 observations / 6 alerts</x:v>
      </x:c>
      <x:c r="E17" s="41" t="str">
        <x:v>Nested JSON structure inspected before flattening.</x:v>
      </x:c>
      <x:c r="F17" s="24" t="str">
        <x:v>Validated</x:v>
      </x:c>
    </x:row>
    <x:row r="18">
      <x:c r="A18" s="24" t="str">
        <x:v>Nested</x:v>
      </x:c>
      <x:c r="B18" s="24" t="str">
        <x:v>Maintenance_Nested.xml</x:v>
      </x:c>
      <x:c r="C18" s="24" t="str">
        <x:v>12 events / 18 parts</x:v>
      </x:c>
      <x:c r="D18" s="41" t="str">
        <x:v>12 events / 18 parts</x:v>
      </x:c>
      <x:c r="E18" s="41" t="str">
        <x:v>Nested XML parent/child structure inspected before expansion.</x:v>
      </x:c>
      <x:c r="F18" s="24" t="str">
        <x:v>Validated</x:v>
      </x:c>
    </x:row>
    <x:row r="19">
      <x:c r="A19" s="24" t="str">
        <x:v>Payload</x:v>
      </x:c>
      <x:c r="B19" s="24" t="str">
        <x:v>Payload_Columns.csv</x:v>
      </x:c>
      <x:c r="C19" s="24" t="str">
        <x:v>12 rows / 1 malformed JSON payload</x:v>
      </x:c>
      <x:c r="D19" s="41" t="str">
        <x:v>12 rows / 1 malformed JSON payload</x:v>
      </x:c>
      <x:c r="E19" s="41" t="str">
        <x:v>Controlled parse-error case preserved.</x:v>
      </x:c>
      <x:c r="F19" s="24" t="str">
        <x:v>Validated</x:v>
      </x:c>
    </x:row>
    <x:row r="20">
      <x:c r="A20" s="24" t="str">
        <x:v>API</x:v>
      </x:c>
      <x:c r="B20" s="24" t="str">
        <x:v>page_001.json … page_004.json</x:v>
      </x:c>
      <x:c r="C20" s="24" t="str">
        <x:v>4 pages / 28 rows</x:v>
      </x:c>
      <x:c r="D20" s="41" t="str">
        <x:v>4 pages / 28 rows</x:v>
      </x:c>
      <x:c r="E20" s="41" t="str">
        <x:v>7 operations per page; page 4 terminates pagination.</x:v>
      </x:c>
      <x:c r="F20" s="24" t="str">
        <x:v>Validated</x:v>
      </x:c>
    </x:row>
  </x:sheetData>
  <x:mergeCells>
    <x:mergeCell ref="A1:F1"/>
  </x:mergeCells>
  <x:conditionalFormatting sqref="F4:F20">
    <x:cfRule type="expression" dxfId="3" priority="1">
      <x:formula>F4="Validated"</x:formula>
    </x:cfRule>
    <x:cfRule type="expression" dxfId="4" priority="2">
      <x:formula>F4="Needs Review"</x:formula>
    </x:cfRule>
    <x:cfRule type="expression" dxfId="5" priority="3">
      <x:formula>F4="In Progress"</x:formula>
    </x:cfRule>
  </x:conditionalFormatting>
  <x:dataValidations count="1">
    <x:dataValidation type="list" sqref="F4:F20">
      <x:formula1>"Not Started,In Progress,Validated,Needs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48" hidden="0" customWidth="1"/>
    <x:col min="4" max="4" width="22" hidden="0" customWidth="1"/>
    <x:col min="5" max="5" width="24" hidden="0" customWidth="1"/>
    <x:col min="6" max="6" width="18" hidden="0" customWidth="1"/>
    <x:col min="7" max="7" width="44" hidden="0" customWidth="1"/>
  </x:cols>
  <x:sheetData>
    <x:row r="1" ht="26" customHeight="1">
      <x:c r="A1" s="6" t="str">
        <x:v>Query Groups, Dependencies and Load Intent</x:v>
      </x:c>
      <x:c r="B1" s="6"/>
      <x:c r="C1" s="6"/>
      <x:c r="D1" s="6"/>
      <x:c r="E1" s="6"/>
      <x:c r="F1" s="6"/>
      <x:c r="G1" s="6"/>
    </x:row>
    <x:row r="3" ht="30" customHeight="1">
      <x:c r="A3" s="16" t="str">
        <x:v>Query/Parameter</x:v>
      </x:c>
      <x:c r="B3" s="16" t="str">
        <x:v>Group</x:v>
      </x:c>
      <x:c r="C3" s="16" t="str">
        <x:v>Source/Dependency</x:v>
      </x:c>
      <x:c r="D3" s="16" t="str">
        <x:v>Enable Load Expected</x:v>
      </x:c>
      <x:c r="E3" s="16" t="str">
        <x:v>Include Refresh Expected</x:v>
      </x:c>
      <x:c r="F3" s="16" t="str">
        <x:v>LearnerStatus</x:v>
      </x:c>
      <x:c r="G3" s="16" t="str">
        <x:v>Notes</x:v>
      </x:c>
    </x:row>
    <x:row r="4">
      <x:c r="A4" s="24" t="str">
        <x:v>pDataRoot</x:v>
      </x:c>
      <x:c r="B4" s="24" t="str">
        <x:v>00 Parameters</x:v>
      </x:c>
      <x:c r="C4" s="24" t="str">
        <x:v>Learner-selected Source_Files root</x:v>
      </x:c>
      <x:c r="D4" s="24" t="str">
        <x:v>Disabled</x:v>
      </x:c>
      <x:c r="E4" s="24" t="str">
        <x:v>N/A</x:v>
      </x:c>
      <x:c r="F4" s="24" t="str">
        <x:v>Validated</x:v>
      </x:c>
      <x:c r="G4" s="24" t="str">
        <x:v>Reference value created as a parameter; parameters are configuration, not secret storage.</x:v>
      </x:c>
    </x:row>
    <x:row r="5">
      <x:c r="A5" s="24" t="str">
        <x:v>pMonthlyExtractFolder</x:v>
      </x:c>
      <x:c r="B5" s="24" t="str">
        <x:v>00 Parameters</x:v>
      </x:c>
      <x:c r="C5" s="24" t="str">
        <x:v>Monthly_Plant_Extracts folder</x:v>
      </x:c>
      <x:c r="D5" s="24" t="str">
        <x:v>Disabled</x:v>
      </x:c>
      <x:c r="E5" s="24" t="str">
        <x:v>N/A</x:v>
      </x:c>
      <x:c r="F5" s="24" t="str">
        <x:v>Validated</x:v>
      </x:c>
      <x:c r="G5" s="24" t="str">
        <x:v>Reference value created as a parameter; parameters are configuration, not secret storage.</x:v>
      </x:c>
    </x:row>
    <x:row r="6">
      <x:c r="A6" s="24" t="str">
        <x:v>pSQLServer</x:v>
      </x:c>
      <x:c r="B6" s="24" t="str">
        <x:v>00 Parameters</x:v>
      </x:c>
      <x:c r="C6" s="24" t="str">
        <x:v>localhost</x:v>
      </x:c>
      <x:c r="D6" s="24" t="str">
        <x:v>Disabled</x:v>
      </x:c>
      <x:c r="E6" s="24" t="str">
        <x:v>N/A</x:v>
      </x:c>
      <x:c r="F6" s="24" t="str">
        <x:v>Validated</x:v>
      </x:c>
      <x:c r="G6" s="24" t="str">
        <x:v>Reference value created as a parameter; parameters are configuration, not secret storage.</x:v>
      </x:c>
    </x:row>
    <x:row r="7">
      <x:c r="A7" s="24" t="str">
        <x:v>pSQLDatabase</x:v>
      </x:c>
      <x:c r="B7" s="24" t="str">
        <x:v>00 Parameters</x:v>
      </x:c>
      <x:c r="C7" s="24" t="str">
        <x:v>SunnyVerseRenewableGroup</x:v>
      </x:c>
      <x:c r="D7" s="24" t="str">
        <x:v>Disabled</x:v>
      </x:c>
      <x:c r="E7" s="24" t="str">
        <x:v>N/A</x:v>
      </x:c>
      <x:c r="F7" s="24" t="str">
        <x:v>Validated</x:v>
      </x:c>
      <x:c r="G7" s="24" t="str">
        <x:v>Reference value created as a parameter; parameters are configuration, not secret storage.</x:v>
      </x:c>
    </x:row>
    <x:row r="8">
      <x:c r="A8" s="24" t="str">
        <x:v>pApiBaseUrl</x:v>
      </x:c>
      <x:c r="B8" s="24" t="str">
        <x:v>00 Parameters</x:v>
      </x:c>
      <x:c r="C8" s="24" t="str">
        <x:v>Published no-account URL when available</x:v>
      </x:c>
      <x:c r="D8" s="24" t="str">
        <x:v>Disabled</x:v>
      </x:c>
      <x:c r="E8" s="24" t="str">
        <x:v>N/A</x:v>
      </x:c>
      <x:c r="F8" s="24" t="str">
        <x:v>Validated</x:v>
      </x:c>
      <x:c r="G8" s="24" t="str">
        <x:v>Reference value created as a parameter; parameters are configuration, not secret storage.</x:v>
      </x:c>
    </x:row>
    <x:row r="9">
      <x:c r="A9" s="24" t="str">
        <x:v>pCulture</x:v>
      </x:c>
      <x:c r="B9" s="24" t="str">
        <x:v>00 Parameters</x:v>
      </x:c>
      <x:c r="C9" s="24" t="str">
        <x:v>en-US for the standard path</x:v>
      </x:c>
      <x:c r="D9" s="24" t="str">
        <x:v>Disabled</x:v>
      </x:c>
      <x:c r="E9" s="24" t="str">
        <x:v>N/A</x:v>
      </x:c>
      <x:c r="F9" s="24" t="str">
        <x:v>Validated</x:v>
      </x:c>
      <x:c r="G9" s="24" t="str">
        <x:v>Reference value created as a parameter; parameters are configuration, not secret storage.</x:v>
      </x:c>
    </x:row>
    <x:row r="10">
      <x:c r="A10" s="24" t="str">
        <x:v>RangeStart</x:v>
      </x:c>
      <x:c r="B10" s="24" t="str">
        <x:v>00 Parameters</x:v>
      </x:c>
      <x:c r="C10" s="24" t="str">
        <x:v>2026-07-01 00:00:00</x:v>
      </x:c>
      <x:c r="D10" s="24" t="str">
        <x:v>Disabled</x:v>
      </x:c>
      <x:c r="E10" s="24" t="str">
        <x:v>N/A</x:v>
      </x:c>
      <x:c r="F10" s="24" t="str">
        <x:v>Validated</x:v>
      </x:c>
      <x:c r="G10" s="24" t="str">
        <x:v>Reference value created as a parameter; parameters are configuration, not secret storage.</x:v>
      </x:c>
    </x:row>
    <x:row r="11">
      <x:c r="A11" s="24" t="str">
        <x:v>RangeEnd</x:v>
      </x:c>
      <x:c r="B11" s="24" t="str">
        <x:v>00 Parameters</x:v>
      </x:c>
      <x:c r="C11" s="24" t="str">
        <x:v>2026-10-01 00:00:00</x:v>
      </x:c>
      <x:c r="D11" s="24" t="str">
        <x:v>Disabled</x:v>
      </x:c>
      <x:c r="E11" s="24" t="str">
        <x:v>N/A</x:v>
      </x:c>
      <x:c r="F11" s="24" t="str">
        <x:v>Validated</x:v>
      </x:c>
      <x:c r="G11" s="24" t="str">
        <x:v>Reference value created as a parameter; parameters are configuration, not secret storage.</x:v>
      </x:c>
    </x:row>
    <x:row r="12">
      <x:c r="A12" s="24" t="str">
        <x:v>stg_SQL_Regions</x:v>
      </x:c>
      <x:c r="B12" s="24" t="str">
        <x:v>10 Staging</x:v>
      </x:c>
      <x:c r="C12" s="24" t="str">
        <x:v>SQL dbo.Regions</x:v>
      </x:c>
      <x:c r="D12" s="24" t="str">
        <x:v>Disabled</x:v>
      </x:c>
      <x:c r="E12" s="24" t="str">
        <x:v>Enabled</x:v>
      </x:c>
      <x:c r="F12" s="24" t="str">
        <x:v>Validated</x:v>
      </x:c>
      <x:c r="G12" s="24" t="str">
        <x:v>Connection/minimal-source query; load disabled so raw access is not mistaken for a prepared model output.</x:v>
      </x:c>
    </x:row>
    <x:row r="13">
      <x:c r="A13" s="24" t="str">
        <x:v>stg_SQL_Technologies</x:v>
      </x:c>
      <x:c r="B13" s="24" t="str">
        <x:v>10 Staging</x:v>
      </x:c>
      <x:c r="C13" s="24" t="str">
        <x:v>SQL dbo.Technologies</x:v>
      </x:c>
      <x:c r="D13" s="24" t="str">
        <x:v>Disabled</x:v>
      </x:c>
      <x:c r="E13" s="24" t="str">
        <x:v>Enabled</x:v>
      </x:c>
      <x:c r="F13" s="24" t="str">
        <x:v>Validated</x:v>
      </x:c>
      <x:c r="G13" s="24" t="str">
        <x:v>Connection/minimal-source query; load disabled so raw access is not mistaken for a prepared model output.</x:v>
      </x:c>
    </x:row>
    <x:row r="14">
      <x:c r="A14" s="24" t="str">
        <x:v>stg_SQL_Plants</x:v>
      </x:c>
      <x:c r="B14" s="24" t="str">
        <x:v>10 Staging</x:v>
      </x:c>
      <x:c r="C14" s="24" t="str">
        <x:v>SQL dbo.Plants</x:v>
      </x:c>
      <x:c r="D14" s="24" t="str">
        <x:v>Disabled</x:v>
      </x:c>
      <x:c r="E14" s="24" t="str">
        <x:v>Enabled</x:v>
      </x:c>
      <x:c r="F14" s="24" t="str">
        <x:v>Validated</x:v>
      </x:c>
      <x:c r="G14" s="24" t="str">
        <x:v>Connection/minimal-source query; load disabled so raw access is not mistaken for a prepared model output.</x:v>
      </x:c>
    </x:row>
    <x:row r="15">
      <x:c r="A15" s="24" t="str">
        <x:v>stg_SQL_IntervalGeneration</x:v>
      </x:c>
      <x:c r="B15" s="24" t="str">
        <x:v>10 Staging</x:v>
      </x:c>
      <x:c r="C15" s="24" t="str">
        <x:v>SQL dbo.IntervalGeneration</x:v>
      </x:c>
      <x:c r="D15" s="24" t="str">
        <x:v>Disabled</x:v>
      </x:c>
      <x:c r="E15" s="24" t="str">
        <x:v>Enabled</x:v>
      </x:c>
      <x:c r="F15" s="24" t="str">
        <x:v>Validated</x:v>
      </x:c>
      <x:c r="G15" s="24" t="str">
        <x:v>Connection/minimal-source query; load disabled so raw access is not mistaken for a prepared model output.</x:v>
      </x:c>
    </x:row>
    <x:row r="16">
      <x:c r="A16" s="24" t="str">
        <x:v>stg_Maintenance_Raw</x:v>
      </x:c>
      <x:c r="B16" s="24" t="str">
        <x:v>10 Staging</x:v>
      </x:c>
      <x:c r="C16" s="24" t="str">
        <x:v>Maintenance CSV</x:v>
      </x:c>
      <x:c r="D16" s="24" t="str">
        <x:v>Disabled</x:v>
      </x:c>
      <x:c r="E16" s="24" t="str">
        <x:v>Enabled</x:v>
      </x:c>
      <x:c r="F16" s="24" t="str">
        <x:v>Validated</x:v>
      </x:c>
      <x:c r="G16" s="24" t="str">
        <x:v>Connection/minimal-source query; load disabled so raw access is not mistaken for a prepared model output.</x:v>
      </x:c>
    </x:row>
    <x:row r="17">
      <x:c r="A17" s="24" t="str">
        <x:v>stg_SupplierMaster_Raw</x:v>
      </x:c>
      <x:c r="B17" s="24" t="str">
        <x:v>10 Staging</x:v>
      </x:c>
      <x:c r="C17" s="24" t="str">
        <x:v>Supplier master</x:v>
      </x:c>
      <x:c r="D17" s="24" t="str">
        <x:v>Disabled</x:v>
      </x:c>
      <x:c r="E17" s="24" t="str">
        <x:v>Enabled</x:v>
      </x:c>
      <x:c r="F17" s="24" t="str">
        <x:v>Validated</x:v>
      </x:c>
      <x:c r="G17" s="24" t="str">
        <x:v>Connection/minimal-source query; load disabled so raw access is not mistaken for a prepared model output.</x:v>
      </x:c>
    </x:row>
    <x:row r="18">
      <x:c r="A18" s="24" t="str">
        <x:v>stg_SupplierActivity_Raw</x:v>
      </x:c>
      <x:c r="B18" s="24" t="str">
        <x:v>10 Staging</x:v>
      </x:c>
      <x:c r="C18" s="24" t="str">
        <x:v>Supplier activity</x:v>
      </x:c>
      <x:c r="D18" s="24" t="str">
        <x:v>Disabled</x:v>
      </x:c>
      <x:c r="E18" s="24" t="str">
        <x:v>Enabled</x:v>
      </x:c>
      <x:c r="F18" s="24" t="str">
        <x:v>Validated</x:v>
      </x:c>
      <x:c r="G18" s="24" t="str">
        <x:v>Connection/minimal-source query; load disabled so raw access is not mistaken for a prepared model output.</x:v>
      </x:c>
    </x:row>
    <x:row r="19">
      <x:c r="A19" s="24" t="str">
        <x:v>stg_SupplierTransform_Raw</x:v>
      </x:c>
      <x:c r="B19" s="24" t="str">
        <x:v>10 Staging</x:v>
      </x:c>
      <x:c r="C19" s="24" t="str">
        <x:v>Supplier transformation table</x:v>
      </x:c>
      <x:c r="D19" s="24" t="str">
        <x:v>Disabled</x:v>
      </x:c>
      <x:c r="E19" s="24" t="str">
        <x:v>Enabled</x:v>
      </x:c>
      <x:c r="F19" s="24" t="str">
        <x:v>Validated</x:v>
      </x:c>
      <x:c r="G19" s="24" t="str">
        <x:v>Connection/minimal-source query; load disabled so raw access is not mistaken for a prepared model output.</x:v>
      </x:c>
    </x:row>
    <x:row r="20">
      <x:c r="A20" s="24" t="str">
        <x:v>stg_TargetsWide_Raw</x:v>
      </x:c>
      <x:c r="B20" s="24" t="str">
        <x:v>10 Staging</x:v>
      </x:c>
      <x:c r="C20" s="24" t="str">
        <x:v>Wide target workbook</x:v>
      </x:c>
      <x:c r="D20" s="24" t="str">
        <x:v>Disabled</x:v>
      </x:c>
      <x:c r="E20" s="24" t="str">
        <x:v>Enabled</x:v>
      </x:c>
      <x:c r="F20" s="24" t="str">
        <x:v>Validated</x:v>
      </x:c>
      <x:c r="G20" s="24" t="str">
        <x:v>Connection/minimal-source query; load disabled so raw access is not mistaken for a prepared model output.</x:v>
      </x:c>
    </x:row>
    <x:row r="21">
      <x:c r="A21" s="24" t="str">
        <x:v>stg_PlantExtractFiles</x:v>
      </x:c>
      <x:c r="B21" s="24" t="str">
        <x:v>10 Staging</x:v>
      </x:c>
      <x:c r="C21" s="24" t="str">
        <x:v>Folder.Files metadata/binaries</x:v>
      </x:c>
      <x:c r="D21" s="24" t="str">
        <x:v>Disabled</x:v>
      </x:c>
      <x:c r="E21" s="24" t="str">
        <x:v>Enabled</x:v>
      </x:c>
      <x:c r="F21" s="24" t="str">
        <x:v>Validated</x:v>
      </x:c>
      <x:c r="G21" s="24" t="str">
        <x:v>Connection/minimal-source query; load disabled so raw access is not mistaken for a prepared model output.</x:v>
      </x:c>
    </x:row>
    <x:row r="22">
      <x:c r="A22" s="24" t="str">
        <x:v>stg_WeatherJson_Raw</x:v>
      </x:c>
      <x:c r="B22" s="24" t="str">
        <x:v>10 Staging</x:v>
      </x:c>
      <x:c r="C22" s="24" t="str">
        <x:v>Nested weather JSON</x:v>
      </x:c>
      <x:c r="D22" s="24" t="str">
        <x:v>Disabled</x:v>
      </x:c>
      <x:c r="E22" s="24" t="str">
        <x:v>Enabled</x:v>
      </x:c>
      <x:c r="F22" s="24" t="str">
        <x:v>Validated</x:v>
      </x:c>
      <x:c r="G22" s="24" t="str">
        <x:v>Connection/minimal-source query; load disabled so raw access is not mistaken for a prepared model output.</x:v>
      </x:c>
    </x:row>
    <x:row r="23">
      <x:c r="A23" s="24" t="str">
        <x:v>stg_MaintenanceXml_Raw</x:v>
      </x:c>
      <x:c r="B23" s="24" t="str">
        <x:v>10 Staging</x:v>
      </x:c>
      <x:c r="C23" s="24" t="str">
        <x:v>Nested maintenance XML</x:v>
      </x:c>
      <x:c r="D23" s="24" t="str">
        <x:v>Disabled</x:v>
      </x:c>
      <x:c r="E23" s="24" t="str">
        <x:v>Enabled</x:v>
      </x:c>
      <x:c r="F23" s="24" t="str">
        <x:v>Validated</x:v>
      </x:c>
      <x:c r="G23" s="24" t="str">
        <x:v>Connection/minimal-source query; load disabled so raw access is not mistaken for a prepared model output.</x:v>
      </x:c>
    </x:row>
    <x:row r="24">
      <x:c r="A24" s="24" t="str">
        <x:v>stg_PayloadColumns_Raw</x:v>
      </x:c>
      <x:c r="B24" s="24" t="str">
        <x:v>10 Staging</x:v>
      </x:c>
      <x:c r="C24" s="24" t="str">
        <x:v>Payload text columns</x:v>
      </x:c>
      <x:c r="D24" s="24" t="str">
        <x:v>Disabled</x:v>
      </x:c>
      <x:c r="E24" s="24" t="str">
        <x:v>Enabled</x:v>
      </x:c>
      <x:c r="F24" s="24" t="str">
        <x:v>Validated</x:v>
      </x:c>
      <x:c r="G24" s="24" t="str">
        <x:v>Connection/minimal-source query; load disabled so raw access is not mistaken for a prepared model output.</x:v>
      </x:c>
    </x:row>
    <x:row r="25">
      <x:c r="A25" s="24" t="str">
        <x:v>fnTransformPlantExtract</x:v>
      </x:c>
      <x:c r="B25" s="24" t="str">
        <x:v>20 Functions</x:v>
      </x:c>
      <x:c r="C25" s="24" t="str">
        <x:v>One-file folder transform</x:v>
      </x:c>
      <x:c r="D25" s="24" t="str">
        <x:v>Disabled</x:v>
      </x:c>
      <x:c r="E25" s="24" t="str">
        <x:v>N/A</x:v>
      </x:c>
      <x:c r="F25" s="24" t="str">
        <x:v>Validated</x:v>
      </x:c>
      <x:c r="G25" s="24" t="str">
        <x:v>Reusable M function; invoked by prepared/staging logic and not loaded.</x:v>
      </x:c>
    </x:row>
    <x:row r="26">
      <x:c r="A26" s="24" t="str">
        <x:v>fnNormalizeSupplierName</x:v>
      </x:c>
      <x:c r="B26" s="24" t="str">
        <x:v>20 Functions</x:v>
      </x:c>
      <x:c r="C26" s="24" t="str">
        <x:v>Reusable supplier-name normalization</x:v>
      </x:c>
      <x:c r="D26" s="24" t="str">
        <x:v>Disabled</x:v>
      </x:c>
      <x:c r="E26" s="24" t="str">
        <x:v>N/A</x:v>
      </x:c>
      <x:c r="F26" s="24" t="str">
        <x:v>Validated</x:v>
      </x:c>
      <x:c r="G26" s="24" t="str">
        <x:v>Reusable M function; invoked by prepared/staging logic and not loaded.</x:v>
      </x:c>
    </x:row>
    <x:row r="27">
      <x:c r="A27" s="24" t="str">
        <x:v>fnGetApiPage</x:v>
      </x:c>
      <x:c r="B27" s="24" t="str">
        <x:v>20 Functions</x:v>
      </x:c>
      <x:c r="C27" s="24" t="str">
        <x:v>One deterministic API page</x:v>
      </x:c>
      <x:c r="D27" s="24" t="str">
        <x:v>Disabled</x:v>
      </x:c>
      <x:c r="E27" s="24" t="str">
        <x:v>N/A</x:v>
      </x:c>
      <x:c r="F27" s="24" t="str">
        <x:v>Validated</x:v>
      </x:c>
      <x:c r="G27" s="24" t="str">
        <x:v>Reusable M function; invoked by prepared/staging logic and not loaded.</x:v>
      </x:c>
    </x:row>
    <x:row r="28">
      <x:c r="A28" s="24" t="str">
        <x:v>fnParseJsonPayload</x:v>
      </x:c>
      <x:c r="B28" s="24" t="str">
        <x:v>20 Functions</x:v>
      </x:c>
      <x:c r="C28" s="24" t="str">
        <x:v>JSON-text parser</x:v>
      </x:c>
      <x:c r="D28" s="24" t="str">
        <x:v>Disabled</x:v>
      </x:c>
      <x:c r="E28" s="24" t="str">
        <x:v>N/A</x:v>
      </x:c>
      <x:c r="F28" s="24" t="str">
        <x:v>Validated</x:v>
      </x:c>
      <x:c r="G28" s="24" t="str">
        <x:v>Reusable M function; invoked by prepared/staging logic and not loaded.</x:v>
      </x:c>
    </x:row>
    <x:row r="29">
      <x:c r="A29" s="24" t="str">
        <x:v>fnParseXmlPayload</x:v>
      </x:c>
      <x:c r="B29" s="24" t="str">
        <x:v>20 Functions</x:v>
      </x:c>
      <x:c r="C29" s="24" t="str">
        <x:v>XML-text parser</x:v>
      </x:c>
      <x:c r="D29" s="24" t="str">
        <x:v>Disabled</x:v>
      </x:c>
      <x:c r="E29" s="24" t="str">
        <x:v>N/A</x:v>
      </x:c>
      <x:c r="F29" s="24" t="str">
        <x:v>Validated</x:v>
      </x:c>
      <x:c r="G29" s="24" t="str">
        <x:v>Reusable M function; invoked by prepared/staging logic and not loaded.</x:v>
      </x:c>
    </x:row>
    <x:row r="30">
      <x:c r="A30" s="24" t="str">
        <x:v>Regions_Prepared</x:v>
      </x:c>
      <x:c r="B30" s="24" t="str">
        <x:v>30 Prepared</x:v>
      </x:c>
      <x:c r="C30" s="24" t="str">
        <x:v>stg_SQL_Regions</x:v>
      </x:c>
      <x:c r="D30" s="24" t="str">
        <x:v>Enabled</x:v>
      </x:c>
      <x:c r="E30" s="24" t="str">
        <x:v>Enabled</x:v>
      </x:c>
      <x:c r="F30" s="24" t="str">
        <x:v>Validated</x:v>
      </x:c>
      <x:c r="G30" s="24" t="str">
        <x:v>Final preparation output for Module 3; loaded intentionally but semantic-model relationships wait for Module 4.</x:v>
      </x:c>
    </x:row>
    <x:row r="31">
      <x:c r="A31" s="24" t="str">
        <x:v>Plants_Prepared</x:v>
      </x:c>
      <x:c r="B31" s="24" t="str">
        <x:v>30 Prepared</x:v>
      </x:c>
      <x:c r="C31" s="24" t="str">
        <x:v>stg_SQL_Plants</x:v>
      </x:c>
      <x:c r="D31" s="24" t="str">
        <x:v>Enabled</x:v>
      </x:c>
      <x:c r="E31" s="24" t="str">
        <x:v>Enabled</x:v>
      </x:c>
      <x:c r="F31" s="24" t="str">
        <x:v>Validated</x:v>
      </x:c>
      <x:c r="G31" s="24" t="str">
        <x:v>Final preparation output for Module 3; loaded intentionally but semantic-model relationships wait for Module 4.</x:v>
      </x:c>
    </x:row>
    <x:row r="32">
      <x:c r="A32" s="24" t="str">
        <x:v>Generation_Prepared</x:v>
      </x:c>
      <x:c r="B32" s="24" t="str">
        <x:v>30 Prepared</x:v>
      </x:c>
      <x:c r="C32" s="24" t="str">
        <x:v>folder + fnTransformPlantExtract</x:v>
      </x:c>
      <x:c r="D32" s="24" t="str">
        <x:v>Enabled</x:v>
      </x:c>
      <x:c r="E32" s="24" t="str">
        <x:v>Enabled</x:v>
      </x:c>
      <x:c r="F32" s="24" t="str">
        <x:v>Validated</x:v>
      </x:c>
      <x:c r="G32" s="24" t="str">
        <x:v>Final preparation output for Module 3; loaded intentionally but semantic-model relationships wait for Module 4.</x:v>
      </x:c>
    </x:row>
    <x:row r="33">
      <x:c r="A33" s="24" t="str">
        <x:v>Maintenance_Prepared</x:v>
      </x:c>
      <x:c r="B33" s="24" t="str">
        <x:v>30 Prepared</x:v>
      </x:c>
      <x:c r="C33" s="24" t="str">
        <x:v>stg_Maintenance_Raw</x:v>
      </x:c>
      <x:c r="D33" s="24" t="str">
        <x:v>Enabled</x:v>
      </x:c>
      <x:c r="E33" s="24" t="str">
        <x:v>Enabled</x:v>
      </x:c>
      <x:c r="F33" s="24" t="str">
        <x:v>Validated</x:v>
      </x:c>
      <x:c r="G33" s="24" t="str">
        <x:v>Final preparation output for Module 3; loaded intentionally but semantic-model relationships wait for Module 4.</x:v>
      </x:c>
    </x:row>
    <x:row r="34">
      <x:c r="A34" s="24" t="str">
        <x:v>Targets_Prepared</x:v>
      </x:c>
      <x:c r="B34" s="24" t="str">
        <x:v>30 Prepared</x:v>
      </x:c>
      <x:c r="C34" s="24" t="str">
        <x:v>stg_TargetsWide_Raw</x:v>
      </x:c>
      <x:c r="D34" s="24" t="str">
        <x:v>Enabled</x:v>
      </x:c>
      <x:c r="E34" s="24" t="str">
        <x:v>Enabled</x:v>
      </x:c>
      <x:c r="F34" s="24" t="str">
        <x:v>Validated</x:v>
      </x:c>
      <x:c r="G34" s="24" t="str">
        <x:v>Final preparation output for Module 3; loaded intentionally but semantic-model relationships wait for Module 4.</x:v>
      </x:c>
    </x:row>
    <x:row r="35">
      <x:c r="A35" s="24" t="str">
        <x:v>Suppliers_Prepared</x:v>
      </x:c>
      <x:c r="B35" s="24" t="str">
        <x:v>30 Prepared</x:v>
      </x:c>
      <x:c r="C35" s="24" t="str">
        <x:v>stg_SupplierMaster_Raw</x:v>
      </x:c>
      <x:c r="D35" s="24" t="str">
        <x:v>Enabled</x:v>
      </x:c>
      <x:c r="E35" s="24" t="str">
        <x:v>Enabled</x:v>
      </x:c>
      <x:c r="F35" s="24" t="str">
        <x:v>Validated</x:v>
      </x:c>
      <x:c r="G35" s="24" t="str">
        <x:v>Final preparation output for Module 3; loaded intentionally but semantic-model relationships wait for Module 4.</x:v>
      </x:c>
    </x:row>
    <x:row r="36">
      <x:c r="A36" s="24" t="str">
        <x:v>SupplierActivity_Prepared</x:v>
      </x:c>
      <x:c r="B36" s="24" t="str">
        <x:v>30 Prepared</x:v>
      </x:c>
      <x:c r="C36" s="24" t="str">
        <x:v>supplier activity + master + match logic</x:v>
      </x:c>
      <x:c r="D36" s="24" t="str">
        <x:v>Enabled</x:v>
      </x:c>
      <x:c r="E36" s="24" t="str">
        <x:v>Enabled</x:v>
      </x:c>
      <x:c r="F36" s="24" t="str">
        <x:v>Validated</x:v>
      </x:c>
      <x:c r="G36" s="24" t="str">
        <x:v>Final preparation output for Module 3; loaded intentionally but semantic-model relationships wait for Module 4.</x:v>
      </x:c>
    </x:row>
    <x:row r="37">
      <x:c r="A37" s="24" t="str">
        <x:v>Weather_Prepared</x:v>
      </x:c>
      <x:c r="B37" s="24" t="str">
        <x:v>30 Prepared</x:v>
      </x:c>
      <x:c r="C37" s="24" t="str">
        <x:v>stg_WeatherJson_Raw</x:v>
      </x:c>
      <x:c r="D37" s="24" t="str">
        <x:v>Enabled</x:v>
      </x:c>
      <x:c r="E37" s="24" t="str">
        <x:v>Enabled</x:v>
      </x:c>
      <x:c r="F37" s="24" t="str">
        <x:v>Validated</x:v>
      </x:c>
      <x:c r="G37" s="24" t="str">
        <x:v>Final preparation output for Module 3; loaded intentionally but semantic-model relationships wait for Module 4.</x:v>
      </x:c>
    </x:row>
    <x:row r="38">
      <x:c r="A38" s="24" t="str">
        <x:v>ApiOperations_Prepared</x:v>
      </x:c>
      <x:c r="B38" s="24" t="str">
        <x:v>30 Prepared</x:v>
      </x:c>
      <x:c r="C38" s="24" t="str">
        <x:v>fnGetApiPage + List.Generate</x:v>
      </x:c>
      <x:c r="D38" s="24" t="str">
        <x:v>Enabled</x:v>
      </x:c>
      <x:c r="E38" s="24" t="str">
        <x:v>Enabled</x:v>
      </x:c>
      <x:c r="F38" s="24" t="str">
        <x:v>Validated</x:v>
      </x:c>
      <x:c r="G38" s="24" t="str">
        <x:v>Final preparation output for Module 3; loaded intentionally but semantic-model relationships wait for Module 4.</x:v>
      </x:c>
    </x:row>
    <x:row r="39">
      <x:c r="A39" s="24" t="str">
        <x:v>Date_Prepared</x:v>
      </x:c>
      <x:c r="B39" s="24" t="str">
        <x:v>30 Prepared</x:v>
      </x:c>
      <x:c r="C39" s="24" t="str">
        <x:v>M-generated Q3 date table</x:v>
      </x:c>
      <x:c r="D39" s="24" t="str">
        <x:v>Enabled</x:v>
      </x:c>
      <x:c r="E39" s="24" t="str">
        <x:v>Enabled</x:v>
      </x:c>
      <x:c r="F39" s="24" t="str">
        <x:v>Validated</x:v>
      </x:c>
      <x:c r="G39" s="24" t="str">
        <x:v>Final preparation output for Module 3; loaded intentionally but semantic-model relationships wait for Module 4.</x:v>
      </x:c>
    </x:row>
    <x:row r="40">
      <x:c r="A40" s="24" t="str">
        <x:v>Time_Prepared</x:v>
      </x:c>
      <x:c r="B40" s="24" t="str">
        <x:v>30 Prepared</x:v>
      </x:c>
      <x:c r="C40" s="24" t="str">
        <x:v>M-generated quarter-hour table</x:v>
      </x:c>
      <x:c r="D40" s="24" t="str">
        <x:v>Enabled</x:v>
      </x:c>
      <x:c r="E40" s="24" t="str">
        <x:v>Enabled</x:v>
      </x:c>
      <x:c r="F40" s="24" t="str">
        <x:v>Validated</x:v>
      </x:c>
      <x:c r="G40" s="24" t="str">
        <x:v>Final preparation output for Module 3; loaded intentionally but semantic-model relationships wait for Module 4.</x:v>
      </x:c>
    </x:row>
    <x:row r="41">
      <x:c r="A41" s="24" t="str">
        <x:v>Audit_MaintenanceErrors</x:v>
      </x:c>
      <x:c r="B41" s="24" t="str">
        <x:v>40 Audit</x:v>
      </x:c>
      <x:c r="C41" s="24" t="str">
        <x:v>maintenance try/error records</x:v>
      </x:c>
      <x:c r="D41" s="24" t="str">
        <x:v>Disabled</x:v>
      </x:c>
      <x:c r="E41" s="24" t="str">
        <x:v>Enabled</x:v>
      </x:c>
      <x:c r="F41" s="24" t="str">
        <x:v>Validated</x:v>
      </x:c>
      <x:c r="G41" s="24" t="str">
        <x:v>Evidence query retained connection-only so errors/unmatched/schema evidence remains inspectable without loading.</x:v>
      </x:c>
    </x:row>
    <x:row r="42">
      <x:c r="A42" s="24" t="str">
        <x:v>Audit_SupplierUnmatched</x:v>
      </x:c>
      <x:c r="B42" s="24" t="str">
        <x:v>40 Audit</x:v>
      </x:c>
      <x:c r="C42" s="24" t="str">
        <x:v>supplier unmatched records</x:v>
      </x:c>
      <x:c r="D42" s="24" t="str">
        <x:v>Disabled</x:v>
      </x:c>
      <x:c r="E42" s="24" t="str">
        <x:v>Enabled</x:v>
      </x:c>
      <x:c r="F42" s="24" t="str">
        <x:v>Validated</x:v>
      </x:c>
      <x:c r="G42" s="24" t="str">
        <x:v>Evidence query retained connection-only so errors/unmatched/schema evidence remains inspectable without loading.</x:v>
      </x:c>
    </x:row>
    <x:row r="43">
      <x:c r="A43" s="24" t="str">
        <x:v>Audit_FolderSchema</x:v>
      </x:c>
      <x:c r="B43" s="24" t="str">
        <x:v>40 Audit</x:v>
      </x:c>
      <x:c r="C43" s="24" t="str">
        <x:v>folder schema inspection</x:v>
      </x:c>
      <x:c r="D43" s="24" t="str">
        <x:v>Disabled</x:v>
      </x:c>
      <x:c r="E43" s="24" t="str">
        <x:v>Enabled</x:v>
      </x:c>
      <x:c r="F43" s="24" t="str">
        <x:v>Validated</x:v>
      </x:c>
      <x:c r="G43" s="24" t="str">
        <x:v>Evidence query retained connection-only so errors/unmatched/schema evidence remains inspectable without loading.</x:v>
      </x:c>
    </x:row>
    <x:row r="44">
      <x:c r="A44" s="24" t="str">
        <x:v>Audit_ApiPages</x:v>
      </x:c>
      <x:c r="B44" s="24" t="str">
        <x:v>40 Audit</x:v>
      </x:c>
      <x:c r="C44" s="24" t="str">
        <x:v>page metadata/counts</x:v>
      </x:c>
      <x:c r="D44" s="24" t="str">
        <x:v>Disabled</x:v>
      </x:c>
      <x:c r="E44" s="24" t="str">
        <x:v>Enabled</x:v>
      </x:c>
      <x:c r="F44" s="24" t="str">
        <x:v>Validated</x:v>
      </x:c>
      <x:c r="G44" s="24" t="str">
        <x:v>Evidence query retained connection-only so errors/unmatched/schema evidence remains inspectable without loading.</x:v>
      </x:c>
    </x:row>
    <x:row r="45">
      <x:c r="A45" s="24" t="str">
        <x:v>Audit_TypeFailures</x:v>
      </x:c>
      <x:c r="B45" s="24" t="str">
        <x:v>40 Audit</x:v>
      </x:c>
      <x:c r="C45" s="24" t="str">
        <x:v>type-conversion failures</x:v>
      </x:c>
      <x:c r="D45" s="24" t="str">
        <x:v>Disabled</x:v>
      </x:c>
      <x:c r="E45" s="24" t="str">
        <x:v>Enabled</x:v>
      </x:c>
      <x:c r="F45" s="24" t="str">
        <x:v>Validated</x:v>
      </x:c>
      <x:c r="G45" s="24" t="str">
        <x:v>Evidence query retained connection-only so errors/unmatched/schema evidence remains inspectable without loading.</x:v>
      </x:c>
    </x:row>
  </x:sheetData>
  <x:mergeCells>
    <x:mergeCell ref="A1:G1"/>
  </x:mergeCells>
  <x:conditionalFormatting sqref="F4:F45">
    <x:cfRule type="expression" dxfId="6" priority="1">
      <x:formula>F4="Validated"</x:formula>
    </x:cfRule>
    <x:cfRule type="expression" dxfId="7" priority="2">
      <x:formula>F4="Needs Review"</x:formula>
    </x:cfRule>
    <x:cfRule type="expression" dxfId="8" priority="3">
      <x:formula>F4="In Progress"</x:formula>
    </x:cfRule>
  </x:conditionalFormatting>
  <x:dataValidations count="1">
    <x:dataValidation type="list" sqref="F4:F45">
      <x:formula1>"Not Started,In Progress,Validated,Needs Review"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44" hidden="0" customWidth="1"/>
    <x:col min="9" max="9" width="18" hidden="0" customWidth="1"/>
  </x:cols>
  <x:sheetData>
    <x:row r="1" ht="26" customHeight="1">
      <x:c r="A1" s="6" t="str">
        <x:v>Maintenance Full-Dataset Profiling Evidence</x:v>
      </x:c>
      <x:c r="B1" s="6"/>
      <x:c r="C1" s="6"/>
      <x:c r="D1" s="6"/>
      <x:c r="E1" s="6"/>
      <x:c r="F1" s="6"/>
      <x:c r="G1" s="6"/>
      <x:c r="H1" s="6"/>
      <x:c r="I1" s="6"/>
    </x:row>
    <x:row r="3" ht="30" customHeight="1">
      <x:c r="A3" s="16" t="str">
        <x:v>Column</x:v>
      </x:c>
      <x:c r="B3" s="16" t="str">
        <x:v>Scope</x:v>
      </x:c>
      <x:c r="C3" s="16" t="str">
        <x:v>PhysicalRows</x:v>
      </x:c>
      <x:c r="D3" s="16" t="str">
        <x:v>ExpectedValid</x:v>
      </x:c>
      <x:c r="E3" s="16" t="str">
        <x:v>ExpectedError</x:v>
      </x:c>
      <x:c r="F3" s="16" t="str">
        <x:v>ExpectedEmpty</x:v>
      </x:c>
      <x:c r="G3" s="16" t="str">
        <x:v>ExpectedDistinctNonblank</x:v>
      </x:c>
      <x:c r="H3" s="16" t="str">
        <x:v>LearnerObservation</x:v>
      </x:c>
      <x:c r="I3" s="16" t="str">
        <x:v>Status</x:v>
      </x:c>
    </x:row>
    <x:row r="4">
      <x:c r="A4" s="24" t="str">
        <x:v>MaintenanceEventID</x:v>
      </x:c>
      <x:c r="B4" s="24" t="str">
        <x:v>Entire dataset</x:v>
      </x:c>
      <x:c r="C4" s="24" t="n">
        <x:v>26</x:v>
      </x:c>
      <x:c r="D4" s="24" t="n">
        <x:v>25</x:v>
      </x:c>
      <x:c r="E4" s="24" t="n">
        <x:v>0</x:v>
      </x:c>
      <x:c r="F4" s="24" t="n">
        <x:v>1</x:v>
      </x:c>
      <x:c r="G4" s="24" t="n">
        <x:v>24</x:v>
      </x:c>
      <x:c r="H4" s="41" t="str">
        <x:v>26 physical rows; one exact duplicate business row and one physically blank row are visible only when the entire dataset is profiled.</x:v>
      </x:c>
      <x:c r="I4" s="24" t="str">
        <x:v>Validated</x:v>
      </x:c>
    </x:row>
    <x:row r="5">
      <x:c r="A5" s="24" t="str">
        <x:v>StartDateTimeText → Date/Time</x:v>
      </x:c>
      <x:c r="B5" s="24" t="str">
        <x:v>Entire dataset</x:v>
      </x:c>
      <x:c r="C5" s="24" t="n">
        <x:v>26</x:v>
      </x:c>
      <x:c r="D5" s="24" t="n">
        <x:v>24</x:v>
      </x:c>
      <x:c r="E5" s="24" t="n">
        <x:v>1</x:v>
      </x:c>
      <x:c r="F5" s="24" t="n">
        <x:v>1</x:v>
      </x:c>
      <x:c r="G5" s="24" t="n">
        <x:v>24</x:v>
      </x:c>
      <x:c r="H5" s="41" t="str">
        <x:v>24 valid converted values, one invalid date error (MNT-018), one blank physical row.</x:v>
      </x:c>
      <x:c r="I5" s="24" t="str">
        <x:v>Validated</x:v>
      </x:c>
    </x:row>
    <x:row r="6">
      <x:c r="A6" s="24" t="str">
        <x:v>EndDateTimeText → Date/Time</x:v>
      </x:c>
      <x:c r="B6" s="24" t="str">
        <x:v>Entire dataset</x:v>
      </x:c>
      <x:c r="C6" s="24" t="n">
        <x:v>26</x:v>
      </x:c>
      <x:c r="D6" s="24" t="n">
        <x:v>24</x:v>
      </x:c>
      <x:c r="E6" s="24" t="n">
        <x:v>0</x:v>
      </x:c>
      <x:c r="F6" s="24" t="n">
        <x:v>2</x:v>
      </x:c>
      <x:c r="G6" s="24" t="n">
        <x:v>23</x:v>
      </x:c>
      <x:c r="H6" s="41" t="str">
        <x:v>24 valid converted values and two empty values: the blank physical row plus ongoing MNT-024.</x:v>
      </x:c>
      <x:c r="I6" s="24" t="str">
        <x:v>Validated</x:v>
      </x:c>
    </x:row>
    <x:row r="7">
      <x:c r="A7" s="24" t="str">
        <x:v>DurationHoursText → Decimal</x:v>
      </x:c>
      <x:c r="B7" s="24" t="str">
        <x:v>Entire dataset</x:v>
      </x:c>
      <x:c r="C7" s="24" t="n">
        <x:v>26</x:v>
      </x:c>
      <x:c r="D7" s="24" t="n">
        <x:v>23</x:v>
      </x:c>
      <x:c r="E7" s="24" t="n">
        <x:v>1</x:v>
      </x:c>
      <x:c r="F7" s="24" t="n">
        <x:v>2</x:v>
      </x:c>
      <x:c r="G7" s="24" t="n">
        <x:v>16</x:v>
      </x:c>
      <x:c r="H7" s="41" t="str">
        <x:v>23 valid decimals, one conversion error (MNT-021 = five), two empty values.</x:v>
      </x:c>
      <x:c r="I7" s="24" t="str">
        <x:v>Validated</x:v>
      </x:c>
    </x:row>
    <x:row r="8">
      <x:c r="A8" s="24" t="str">
        <x:v>CostUSDText → Fixed decimal</x:v>
      </x:c>
      <x:c r="B8" s="24" t="str">
        <x:v>Entire dataset</x:v>
      </x:c>
      <x:c r="C8" s="24" t="n">
        <x:v>26</x:v>
      </x:c>
      <x:c r="D8" s="24" t="n">
        <x:v>24</x:v>
      </x:c>
      <x:c r="E8" s="24" t="n">
        <x:v>1</x:v>
      </x:c>
      <x:c r="F8" s="24" t="n">
        <x:v>1</x:v>
      </x:c>
      <x:c r="G8" s="24" t="n">
        <x:v>23</x:v>
      </x:c>
      <x:c r="H8" s="41" t="str">
        <x:v>24 valid fixed-decimal values, one conversion error (MNT-022 = not available), one blank physical row.</x:v>
      </x:c>
      <x:c r="I8" s="24" t="str">
        <x:v>Validated</x:v>
      </x:c>
    </x:row>
    <x:row r="9">
      <x:c r="A9" s="24" t="str">
        <x:v>TechnicianTeam</x:v>
      </x:c>
      <x:c r="B9" s="24" t="str">
        <x:v>Entire dataset</x:v>
      </x:c>
      <x:c r="C9" s="24" t="n">
        <x:v>26</x:v>
      </x:c>
      <x:c r="D9" s="24" t="n">
        <x:v>24</x:v>
      </x:c>
      <x:c r="E9" s="24" t="n">
        <x:v>0</x:v>
      </x:c>
      <x:c r="F9" s="24" t="n">
        <x:v>2</x:v>
      </x:c>
      <x:c r="G9" s="24" t="n">
        <x:v>10</x:v>
      </x:c>
      <x:c r="H9" s="41" t="str">
        <x:v>24 populated team values, two empty values: MNT-023 plus the blank physical row.</x:v>
      </x:c>
      <x:c r="I9" s="24" t="str">
        <x:v>Validated</x:v>
      </x:c>
    </x:row>
  </x:sheetData>
  <x:mergeCells>
    <x:mergeCell ref="A1:I1"/>
  </x:mergeCells>
  <x:conditionalFormatting sqref="I4:I9">
    <x:cfRule type="expression" dxfId="9" priority="1">
      <x:formula>I4="Validated"</x:formula>
    </x:cfRule>
    <x:cfRule type="expression" dxfId="10" priority="2">
      <x:formula>I4="Needs Review"</x:formula>
    </x:cfRule>
    <x:cfRule type="expression" dxfId="11" priority="3">
      <x:formula>I4="In Progress"</x:formula>
    </x:cfRule>
  </x:conditionalFormatting>
  <x:dataValidations count="1">
    <x:dataValidation type="list" sqref="I4:I9">
      <x:formula1>"Not Started,In Progress,Validated,Needs Review"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18" hidden="0" customWidth="1"/>
    <x:col min="5" max="5" width="34" hidden="0" customWidth="1"/>
    <x:col min="6" max="6" width="26" hidden="0" customWidth="1"/>
    <x:col min="7" max="7" width="48" hidden="0" customWidth="1"/>
    <x:col min="8" max="8" width="18" hidden="0" customWidth="1"/>
  </x:cols>
  <x:sheetData>
    <x:row r="1" ht="26" customHeight="1">
      <x:c r="A1" s="6" t="str">
        <x:v>Data Types and Locale-Aware Conversion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Scenario</x:v>
      </x:c>
      <x:c r="B3" s="16" t="str">
        <x:v>RawValue</x:v>
      </x:c>
      <x:c r="C3" s="16" t="str">
        <x:v>TargetType</x:v>
      </x:c>
      <x:c r="D3" s="16" t="str">
        <x:v>Culture/Method</x:v>
      </x:c>
      <x:c r="E3" s="16" t="str">
        <x:v>ExpectedInterpretation</x:v>
      </x:c>
      <x:c r="F3" s="16" t="str">
        <x:v>LearnerResult</x:v>
      </x:c>
      <x:c r="G3" s="16" t="str">
        <x:v>Reasoning</x:v>
      </x:c>
      <x:c r="H3" s="16" t="str">
        <x:v>Status</x:v>
      </x:c>
    </x:row>
    <x:row r="4">
      <x:c r="A4" s="24" t="str">
        <x:v>Ambiguous US date</x:v>
      </x:c>
      <x:c r="B4" s="24" t="str">
        <x:v>07/05/2026 09:30</x:v>
      </x:c>
      <x:c r="C4" s="24" t="str">
        <x:v>Date/Time using locale</x:v>
      </x:c>
      <x:c r="D4" s="24" t="str">
        <x:v>en-US</x:v>
      </x:c>
      <x:c r="E4" s="24" t="str">
        <x:v>2026-07-05 09:30</x:v>
      </x:c>
      <x:c r="F4" s="41" t="str">
        <x:v>2026-07-05 09:30</x:v>
      </x:c>
      <x:c r="G4" s="41" t="str">
        <x:v>Under en-US, 07/05 is July 5. Locale is part of the conversion contract.</x:v>
      </x:c>
      <x:c r="H4" s="24" t="str">
        <x:v>Validated</x:v>
      </x:c>
    </x:row>
    <x:row r="5">
      <x:c r="A5" s="24" t="str">
        <x:v>Same text, different locale</x:v>
      </x:c>
      <x:c r="B5" s="24" t="str">
        <x:v>07/05/2026 09:30</x:v>
      </x:c>
      <x:c r="C5" s="24" t="str">
        <x:v>Date/Time using locale</x:v>
      </x:c>
      <x:c r="D5" s="24" t="str">
        <x:v>en-GB</x:v>
      </x:c>
      <x:c r="E5" s="24" t="str">
        <x:v>2026-05-07 09:30</x:v>
      </x:c>
      <x:c r="F5" s="41" t="str">
        <x:v>2026-05-07 09:30</x:v>
      </x:c>
      <x:c r="G5" s="41" t="str">
        <x:v>The same text becomes 7 May under en-GB, proving that a successful conversion can still be semantically wrong.</x:v>
      </x:c>
      <x:c r="H5" s="24" t="str">
        <x:v>Validated</x:v>
      </x:c>
    </x:row>
    <x:row r="6">
      <x:c r="A6" s="24" t="str">
        <x:v>Currency text</x:v>
      </x:c>
      <x:c r="B6" s="24" t="str">
        <x:v>$1,250.00</x:v>
      </x:c>
      <x:c r="C6" s="24" t="str">
        <x:v>Fixed decimal / currency</x:v>
      </x:c>
      <x:c r="D6" s="24" t="str">
        <x:v>en-US</x:v>
      </x:c>
      <x:c r="E6" s="24" t="str">
        <x:v>1250.00</x:v>
      </x:c>
      <x:c r="F6" s="41" t="str">
        <x:v>1250.00</x:v>
      </x:c>
      <x:c r="G6" s="41" t="str">
        <x:v>Presentation characters are removed/parsed under a known culture before fixed-decimal typing.</x:v>
      </x:c>
      <x:c r="H6" s="24" t="str">
        <x:v>Validated</x:v>
      </x:c>
    </x:row>
    <x:row r="7">
      <x:c r="A7" s="24" t="str">
        <x:v>Boolean text</x:v>
      </x:c>
      <x:c r="B7" s="24" t="str">
        <x:v>TRUE / false / False</x:v>
      </x:c>
      <x:c r="C7" s="24" t="str">
        <x:v>True/False</x:v>
      </x:c>
      <x:c r="D7" s="24" t="str">
        <x:v>case-normalized</x:v>
      </x:c>
      <x:c r="E7" s="24" t="str">
        <x:v>Logical values</x:v>
      </x:c>
      <x:c r="F7" s="41" t="str">
        <x:v>Logical TRUE/FALSE values</x:v>
      </x:c>
      <x:c r="G7" s="41" t="str">
        <x:v>Case-normalized text is converted to the logical type rather than kept as display text.</x:v>
      </x:c>
      <x:c r="H7" s="24" t="str">
        <x:v>Validated</x:v>
      </x:c>
    </x:row>
    <x:row r="8">
      <x:c r="A8" s="24" t="str">
        <x:v>Invalid date</x:v>
      </x:c>
      <x:c r="B8" s="24" t="str">
        <x:v>2026-09-31 08:00</x:v>
      </x:c>
      <x:c r="C8" s="24" t="str">
        <x:v>Date/Time</x:v>
      </x:c>
      <x:c r="D8" s="24" t="str">
        <x:v>en-US</x:v>
      </x:c>
      <x:c r="E8" s="24" t="str">
        <x:v>Conversion error</x:v>
      </x:c>
      <x:c r="F8" s="41" t="str">
        <x:v>Conversion error retained for audit</x:v>
      </x:c>
      <x:c r="G8" s="41" t="str">
        <x:v>September 31 is not repaired by inventing a valid date; the event is quarantined from the prepared set.</x:v>
      </x:c>
      <x:c r="H8" s="24" t="str">
        <x:v>Validated</x:v>
      </x:c>
    </x:row>
    <x:row r="9">
      <x:c r="A9" s="24" t="str">
        <x:v>Invalid number</x:v>
      </x:c>
      <x:c r="B9" s="24" t="str">
        <x:v>five</x:v>
      </x:c>
      <x:c r="C9" s="24" t="str">
        <x:v>Decimal number</x:v>
      </x:c>
      <x:c r="D9" s="24" t="str">
        <x:v>en-US</x:v>
      </x:c>
      <x:c r="E9" s="24" t="str">
        <x:v>Conversion error</x:v>
      </x:c>
      <x:c r="F9" s="41" t="str">
        <x:v>Conversion error; repaired only from stronger timestamps</x:v>
      </x:c>
      <x:c r="G9" s="41" t="str">
        <x:v>The word five is not numerically trustworthy by itself; the valid Start/End interval supports a 5-hour repair.</x:v>
      </x:c>
      <x:c r="H9" s="24" t="str">
        <x:v>Validated</x:v>
      </x:c>
    </x:row>
  </x:sheetData>
  <x:mergeCells>
    <x:mergeCell ref="A1:H1"/>
  </x:mergeCells>
  <x:conditionalFormatting sqref="H4:H9">
    <x:cfRule type="expression" dxfId="12" priority="1">
      <x:formula>H4="Validated"</x:formula>
    </x:cfRule>
    <x:cfRule type="expression" dxfId="13" priority="2">
      <x:formula>H4="Needs Review"</x:formula>
    </x:cfRule>
    <x:cfRule type="expression" dxfId="14" priority="3">
      <x:formula>H4="In Progress"</x:formula>
    </x:cfRule>
  </x:conditionalFormatting>
  <x:dataValidations count="1">
    <x:dataValidation type="list" sqref="H4:H9">
      <x:formula1>"Not Started,In Progress,Validated,Needs Review"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30" hidden="0" customWidth="1"/>
    <x:col min="4" max="4" width="56" hidden="0" customWidth="1"/>
    <x:col min="5" max="5" width="44" hidden="0" customWidth="1"/>
    <x:col min="6" max="6" width="42" hidden="0" customWidth="1"/>
    <x:col min="7" max="7" width="18" hidden="0" customWidth="1"/>
  </x:cols>
  <x:sheetData>
    <x:row r="1" ht="26" customHeight="1">
      <x:c r="A1" s="6" t="str">
        <x:v>Cleaning, Error and Null Disposition</x:v>
      </x:c>
      <x:c r="B1" s="6"/>
      <x:c r="C1" s="6"/>
      <x:c r="D1" s="6"/>
      <x:c r="E1" s="6"/>
      <x:c r="F1" s="6"/>
      <x:c r="G1" s="6"/>
    </x:row>
    <x:row r="3" ht="30" customHeight="1">
      <x:c r="A3" s="16" t="str">
        <x:v>Issue</x:v>
      </x:c>
      <x:c r="B3" s="16" t="str">
        <x:v>Record</x:v>
      </x:c>
      <x:c r="C3" s="16" t="str">
        <x:v>RawCondition</x:v>
      </x:c>
      <x:c r="D3" s="16" t="str">
        <x:v>ExpectedFinalDisposition</x:v>
      </x:c>
      <x:c r="E3" s="16" t="str">
        <x:v>LearnerDecision</x:v>
      </x:c>
      <x:c r="F3" s="16" t="str">
        <x:v>Evidence</x:v>
      </x:c>
      <x:c r="G3" s="16" t="str">
        <x:v>Status</x:v>
      </x:c>
    </x:row>
    <x:row r="4">
      <x:c r="A4" s="24" t="str">
        <x:v>Exact duplicate</x:v>
      </x:c>
      <x:c r="B4" s="24" t="str">
        <x:v>MNT-010</x:v>
      </x:c>
      <x:c r="C4" s="24" t="str">
        <x:v>Duplicate business row</x:v>
      </x:c>
      <x:c r="D4" s="24" t="str">
        <x:v>Remove one duplicate; retain one event</x:v>
      </x:c>
      <x:c r="E4" s="41" t="str">
        <x:v>Remove only the duplicate occurrence; keep one MNT-010 event.</x:v>
      </x:c>
      <x:c r="F4" s="41" t="str">
        <x:v>Duplicate detection is a grain/uniqueness rule, not cosmetic cleanup.</x:v>
      </x:c>
      <x:c r="G4" s="24" t="str">
        <x:v>Validated</x:v>
      </x:c>
    </x:row>
    <x:row r="5">
      <x:c r="A5" s="24" t="str">
        <x:v>Blank physical row</x:v>
      </x:c>
      <x:c r="B5" s="24" t="str">
        <x:v>blank row</x:v>
      </x:c>
      <x:c r="C5" s="24" t="str">
        <x:v>No business event</x:v>
      </x:c>
      <x:c r="D5" s="24" t="str">
        <x:v>Remove blank row</x:v>
      </x:c>
      <x:c r="E5" s="41" t="str">
        <x:v>Remove the fully blank physical row.</x:v>
      </x:c>
      <x:c r="F5" s="41" t="str">
        <x:v>It carries no business event and should not become a null-valued event.</x:v>
      </x:c>
      <x:c r="G5" s="24" t="str">
        <x:v>Validated</x:v>
      </x:c>
    </x:row>
    <x:row r="6">
      <x:c r="A6" s="24" t="str">
        <x:v>Invalid start datetime</x:v>
      </x:c>
      <x:c r="B6" s="24" t="str">
        <x:v>MNT-018</x:v>
      </x:c>
      <x:c r="C6" s="24" t="str">
        <x:v>2026-09-31 08:00</x:v>
      </x:c>
      <x:c r="D6" s="24" t="str">
        <x:v>Quarantine from Maintenance_Prepared; retain in audit</x:v>
      </x:c>
      <x:c r="E6" s="41" t="str">
        <x:v>Exclude MNT-018 from Maintenance_Prepared and retain it in Audit_MaintenanceErrors.</x:v>
      </x:c>
      <x:c r="F6" s="41" t="str">
        <x:v>A non-existent date cannot be safely inferred.</x:v>
      </x:c>
      <x:c r="G6" s="24" t="str">
        <x:v>Validated</x:v>
      </x:c>
    </x:row>
    <x:row r="7">
      <x:c r="A7" s="24" t="str">
        <x:v>Malformed duration</x:v>
      </x:c>
      <x:c r="B7" s="24" t="str">
        <x:v>MNT-021</x:v>
      </x:c>
      <x:c r="C7" s="24" t="str">
        <x:v>five</x:v>
      </x:c>
      <x:c r="D7" s="24" t="str">
        <x:v>Repair from valid Start/End timestamps = 5 hours; retain audit evidence</x:v>
      </x:c>
      <x:c r="E7" s="41" t="str">
        <x:v>Repair DurationHours to 5 using valid StartDateTime and EndDateTime; keep the original conversion failure in the audit.</x:v>
      </x:c>
      <x:c r="F7" s="41" t="str">
        <x:v>Repair is justified by stronger evidence, not by suppressing an error.</x:v>
      </x:c>
      <x:c r="G7" s="24" t="str">
        <x:v>Validated</x:v>
      </x:c>
    </x:row>
    <x:row r="8">
      <x:c r="A8" s="24" t="str">
        <x:v>Unavailable cost</x:v>
      </x:c>
      <x:c r="B8" s="24" t="str">
        <x:v>MNT-022</x:v>
      </x:c>
      <x:c r="C8" s="24" t="str">
        <x:v>not available</x:v>
      </x:c>
      <x:c r="D8" s="24" t="str">
        <x:v>Retain event with audited null cost; do not replace with zero</x:v>
      </x:c>
      <x:c r="E8" s="41" t="str">
        <x:v>Retain MNT-022 with CostUSD = null and retain the error record.</x:v>
      </x:c>
      <x:c r="F8" s="41" t="str">
        <x:v>Unknown cost is not zero cost.</x:v>
      </x:c>
      <x:c r="G8" s="24" t="str">
        <x:v>Validated</x:v>
      </x:c>
    </x:row>
    <x:row r="9">
      <x:c r="A9" s="24" t="str">
        <x:v>Blank technician team</x:v>
      </x:c>
      <x:c r="B9" s="24" t="str">
        <x:v>MNT-023</x:v>
      </x:c>
      <x:c r="C9" s="24" t="str">
        <x:v>null/blank</x:v>
      </x:c>
      <x:c r="D9" s="24" t="str">
        <x:v>Retain event; preserve unknown team</x:v>
      </x:c>
      <x:c r="E9" s="41" t="str">
        <x:v>Retain MNT-023 with TechnicianTeam = null.</x:v>
      </x:c>
      <x:c r="F9" s="41" t="str">
        <x:v>Blank team is missing attribution, not a reason to delete the event.</x:v>
      </x:c>
      <x:c r="G9" s="24" t="str">
        <x:v>Validated</x:v>
      </x:c>
    </x:row>
    <x:row r="10">
      <x:c r="A10" s="24" t="str">
        <x:v>Ongoing event</x:v>
      </x:c>
      <x:c r="B10" s="24" t="str">
        <x:v>MNT-024</x:v>
      </x:c>
      <x:c r="C10" s="24" t="str">
        <x:v>blank End/Duration</x:v>
      </x:c>
      <x:c r="D10" s="24" t="str">
        <x:v>Retain In Progress event with null end/duration</x:v>
      </x:c>
      <x:c r="E10" s="41" t="str">
        <x:v>Retain MNT-024 as In Progress with null EndDateTime/DurationHours.</x:v>
      </x:c>
      <x:c r="F10" s="41" t="str">
        <x:v>The nulls are meaningful because the event is ongoing.</x:v>
      </x:c>
      <x:c r="G10" s="24" t="str">
        <x:v>Validated</x:v>
      </x:c>
    </x:row>
  </x:sheetData>
  <x:mergeCells>
    <x:mergeCell ref="A1:G1"/>
  </x:mergeCells>
  <x:conditionalFormatting sqref="G4:G10">
    <x:cfRule type="expression" dxfId="15" priority="1">
      <x:formula>G4="Validated"</x:formula>
    </x:cfRule>
    <x:cfRule type="expression" dxfId="16" priority="2">
      <x:formula>G4="Needs Review"</x:formula>
    </x:cfRule>
    <x:cfRule type="expression" dxfId="17" priority="3">
      <x:formula>G4="In Progress"</x:formula>
    </x:cfRule>
  </x:conditionalFormatting>
  <x:dataValidations count="1">
    <x:dataValidation type="list" sqref="G4:G10">
      <x:formula1>"Not Started,In Progress,Validated,Needs Review"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28" hidden="0" customWidth="1"/>
    <x:col min="5" max="5" width="46" hidden="0" customWidth="1"/>
    <x:col min="6" max="6" width="18" hidden="0" customWidth="1"/>
  </x:cols>
  <x:sheetData>
    <x:row r="1" ht="26" customHeight="1">
      <x:c r="A1" s="6" t="str">
        <x:v>Row Operations — Evidence and Meaning</x:v>
      </x:c>
      <x:c r="B1" s="6"/>
      <x:c r="C1" s="6"/>
      <x:c r="D1" s="6"/>
      <x:c r="E1" s="6"/>
      <x:c r="F1" s="6"/>
    </x:row>
    <x:row r="3" ht="30" customHeight="1">
      <x:c r="A3" s="16" t="str">
        <x:v>Operation</x:v>
      </x:c>
      <x:c r="B3" s="16" t="str">
        <x:v>LabQuery</x:v>
      </x:c>
      <x:c r="C3" s="16" t="str">
        <x:v>Business/Teaching Purpose</x:v>
      </x:c>
      <x:c r="D3" s="16" t="str">
        <x:v>LearnerResult</x:v>
      </x:c>
      <x:c r="E3" s="16" t="str">
        <x:v>Meaning/Risk</x:v>
      </x:c>
      <x:c r="F3" s="16" t="str">
        <x:v>Status</x:v>
      </x:c>
    </x:row>
    <x:row r="4">
      <x:c r="A4" s="24" t="str">
        <x:v>Remove Blank Rows</x:v>
      </x:c>
      <x:c r="B4" s="24" t="str">
        <x:v>Maintenance_RowOps_Lab</x:v>
      </x:c>
      <x:c r="C4" s="24" t="str">
        <x:v>Remove physical blank row</x:v>
      </x:c>
      <x:c r="D4" s="24" t="str">
        <x:v>Blank row removed in lab branch.</x:v>
      </x:c>
      <x:c r="E4" s="24" t="str">
        <x:v>Row removal is justified only because no event exists.</x:v>
      </x:c>
      <x:c r="F4" s="24" t="str">
        <x:v>Validated</x:v>
      </x:c>
    </x:row>
    <x:row r="5">
      <x:c r="A5" s="24" t="str">
        <x:v>Remove Duplicates</x:v>
      </x:c>
      <x:c r="B5" s="24" t="str">
        <x:v>Maintenance_RowOps_Lab</x:v>
      </x:c>
      <x:c r="C5" s="24" t="str">
        <x:v>Prove one exact duplicate beyond first</x:v>
      </x:c>
      <x:c r="D5" s="24" t="str">
        <x:v>Duplicate pair isolated; one duplicate occurrence removable.</x:v>
      </x:c>
      <x:c r="E5" s="24" t="str">
        <x:v>Uniqueness must be defined at the correct grain.</x:v>
      </x:c>
      <x:c r="F5" s="24" t="str">
        <x:v>Validated</x:v>
      </x:c>
    </x:row>
    <x:row r="6">
      <x:c r="A6" s="24" t="str">
        <x:v>Keep Duplicates</x:v>
      </x:c>
      <x:c r="B6" s="24" t="str">
        <x:v>Maintenance_RowOps_Lab</x:v>
      </x:c>
      <x:c r="C6" s="24" t="str">
        <x:v>Inspect duplicate evidence without deleting final data</x:v>
      </x:c>
      <x:c r="D6" s="24" t="str">
        <x:v>Duplicate evidence retained in the lab for audit.</x:v>
      </x:c>
      <x:c r="E6" s="24" t="str">
        <x:v>Keep Duplicates is diagnostic; it is not the final cleaning policy.</x:v>
      </x:c>
      <x:c r="F6" s="24" t="str">
        <x:v>Validated</x:v>
      </x:c>
    </x:row>
    <x:row r="7">
      <x:c r="A7" s="24" t="str">
        <x:v>Text Filter</x:v>
      </x:c>
      <x:c r="B7" s="24" t="str">
        <x:v>Maintenance_RowOps_Lab</x:v>
      </x:c>
      <x:c r="C7" s="24" t="str">
        <x:v>Filter MaintenanceType/Status values</x:v>
      </x:c>
      <x:c r="D7" s="24" t="str">
        <x:v>Subset returned for selected MaintenanceType/Status.</x:v>
      </x:c>
      <x:c r="E7" s="24" t="str">
        <x:v>Filtering changes the business population, not merely the screen.</x:v>
      </x:c>
      <x:c r="F7" s="24" t="str">
        <x:v>Validated</x:v>
      </x:c>
    </x:row>
    <x:row r="8">
      <x:c r="A8" s="24" t="str">
        <x:v>Number Filter</x:v>
      </x:c>
      <x:c r="B8" s="24" t="str">
        <x:v>Maintenance_RowOps_Lab</x:v>
      </x:c>
      <x:c r="C8" s="24" t="str">
        <x:v>Filter valid DurationHours or Cost values</x:v>
      </x:c>
      <x:c r="D8" s="24" t="str">
        <x:v>Rows above the chosen numeric threshold returned.</x:v>
      </x:c>
      <x:c r="E8" s="24" t="str">
        <x:v>Numeric filters answer a defined subset question.</x:v>
      </x:c>
      <x:c r="F8" s="24" t="str">
        <x:v>Validated</x:v>
      </x:c>
    </x:row>
    <x:row r="9">
      <x:c r="A9" s="24" t="str">
        <x:v>Date Filter</x:v>
      </x:c>
      <x:c r="B9" s="24" t="str">
        <x:v>Maintenance_RowOps_Lab</x:v>
      </x:c>
      <x:c r="C9" s="24" t="str">
        <x:v>Filter prepared StartDateTime range</x:v>
      </x:c>
      <x:c r="D9" s="24" t="str">
        <x:v>September-start events returned.</x:v>
      </x:c>
      <x:c r="E9" s="24" t="str">
        <x:v>Date filtering depends on a successfully typed date/time column.</x:v>
      </x:c>
      <x:c r="F9" s="24" t="str">
        <x:v>Validated</x:v>
      </x:c>
    </x:row>
    <x:row r="10">
      <x:c r="A10" s="24" t="str">
        <x:v>Keep Top Rows</x:v>
      </x:c>
      <x:c r="B10" s="24" t="str">
        <x:v>Maintenance_RowOps_Lab</x:v>
      </x:c>
      <x:c r="C10" s="24" t="str">
        <x:v>Demonstrate row selection, not business ranking</x:v>
      </x:c>
      <x:c r="D10" s="24" t="str">
        <x:v>First N rows of the current order returned.</x:v>
      </x:c>
      <x:c r="E10" s="24" t="str">
        <x:v>Without a prior sort, Top means position—not highest business value.</x:v>
      </x:c>
      <x:c r="F10" s="24" t="str">
        <x:v>Validated</x:v>
      </x:c>
    </x:row>
    <x:row r="11">
      <x:c r="A11" s="24" t="str">
        <x:v>Keep Bottom Rows</x:v>
      </x:c>
      <x:c r="B11" s="24" t="str">
        <x:v>Maintenance_RowOps_Lab</x:v>
      </x:c>
      <x:c r="C11" s="24" t="str">
        <x:v>Demonstrate row selection</x:v>
      </x:c>
      <x:c r="D11" s="24" t="str">
        <x:v>Last N rows of the current order returned.</x:v>
      </x:c>
      <x:c r="E11" s="24" t="str">
        <x:v>Bottom is positional unless order is explicitly established.</x:v>
      </x:c>
      <x:c r="F11" s="24" t="str">
        <x:v>Validated</x:v>
      </x:c>
    </x:row>
    <x:row r="12">
      <x:c r="A12" s="24" t="str">
        <x:v>Keep Range of Rows</x:v>
      </x:c>
      <x:c r="B12" s="24" t="str">
        <x:v>Maintenance_RowOps_Lab</x:v>
      </x:c>
      <x:c r="C12" s="24" t="str">
        <x:v>Demonstrate positional selection</x:v>
      </x:c>
      <x:c r="D12" s="24" t="str">
        <x:v>Requested positional range returned.</x:v>
      </x:c>
      <x:c r="E12" s="24" t="str">
        <x:v>Useful for layout/source inspection, not a default business filter.</x:v>
      </x:c>
      <x:c r="F12" s="24" t="str">
        <x:v>Validated</x:v>
      </x:c>
    </x:row>
    <x:row r="13">
      <x:c r="A13" s="24" t="str">
        <x:v>Keep Alternate Rows</x:v>
      </x:c>
      <x:c r="B13" s="24" t="str">
        <x:v>Maintenance_RowOps_Lab</x:v>
      </x:c>
      <x:c r="C13" s="24" t="str">
        <x:v>Demonstrate positional pattern</x:v>
      </x:c>
      <x:c r="D13" s="24" t="str">
        <x:v>Alternating positional pattern returned.</x:v>
      </x:c>
      <x:c r="E13" s="24" t="str">
        <x:v>Unsafe as business logic unless the source layout guarantees a repeating pattern.</x:v>
      </x:c>
      <x:c r="F13" s="24" t="str">
        <x:v>Validated</x:v>
      </x:c>
    </x:row>
    <x:row r="14">
      <x:c r="A14" s="24" t="str">
        <x:v>Remove Top/Bottom/Alternate</x:v>
      </x:c>
      <x:c r="B14" s="24" t="str">
        <x:v>Maintenance_RowOps_Lab</x:v>
      </x:c>
      <x:c r="C14" s="24" t="str">
        <x:v>Compare keep vs remove semantics</x:v>
      </x:c>
      <x:c r="D14" s="24" t="str">
        <x:v>Rows removed by position.</x:v>
      </x:c>
      <x:c r="E14" s="24" t="str">
        <x:v>Remove operations are the inverse positional operation and need the same caution.</x:v>
      </x:c>
      <x:c r="F14" s="24" t="str">
        <x:v>Validated</x:v>
      </x:c>
    </x:row>
    <x:row r="15">
      <x:c r="A15" s="24" t="str">
        <x:v>Sort</x:v>
      </x:c>
      <x:c r="B15" s="24" t="str">
        <x:v>Maintenance_RowOps_Lab</x:v>
      </x:c>
      <x:c r="C15" s="24" t="str">
        <x:v>Sort only when order is analytically required</x:v>
      </x:c>
      <x:c r="D15" s="24" t="str">
        <x:v>StartDateTime order established.</x:v>
      </x:c>
      <x:c r="E15" s="24" t="str">
        <x:v>Sorting creates order for the current result but does not create a stable source key.</x:v>
      </x:c>
      <x:c r="F15" s="24" t="str">
        <x:v>Validated</x:v>
      </x:c>
    </x:row>
  </x:sheetData>
  <x:mergeCells>
    <x:mergeCell ref="A1:F1"/>
  </x:mergeCells>
  <x:conditionalFormatting sqref="F4:F15">
    <x:cfRule type="expression" dxfId="18" priority="1">
      <x:formula>F4="Validated"</x:formula>
    </x:cfRule>
    <x:cfRule type="expression" dxfId="19" priority="2">
      <x:formula>F4="Needs Review"</x:formula>
    </x:cfRule>
    <x:cfRule type="expression" dxfId="20" priority="3">
      <x:formula>F4="In Progress"</x:formula>
    </x:cfRule>
  </x:conditionalFormatting>
  <x:dataValidations count="1">
    <x:dataValidation type="list" sqref="F4:F15">
      <x:formula1>"Not Started,In Progress,Validated,Needs Review"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54" hidden="0" customWidth="1"/>
    <x:col min="4" max="4" width="38" hidden="0" customWidth="1"/>
    <x:col min="5" max="5" width="46" hidden="0" customWidth="1"/>
    <x:col min="6" max="6" width="18" hidden="0" customWidth="1"/>
  </x:cols>
  <x:sheetData>
    <x:row r="1" ht="26" customHeight="1">
      <x:c r="A1" s="6" t="str">
        <x:v>Column, Derived-Column, Fill and Grouping Operations</x:v>
      </x:c>
      <x:c r="B1" s="6"/>
      <x:c r="C1" s="6"/>
      <x:c r="D1" s="6"/>
      <x:c r="E1" s="6"/>
      <x:c r="F1" s="6"/>
    </x:row>
    <x:row r="3" ht="30" customHeight="1">
      <x:c r="A3" s="16" t="str">
        <x:v>Operation</x:v>
      </x:c>
      <x:c r="B3" s="16" t="str">
        <x:v>Source/Lab</x:v>
      </x:c>
      <x:c r="C3" s="16" t="str">
        <x:v>Teaching Purpose</x:v>
      </x:c>
      <x:c r="D3" s="16" t="str">
        <x:v>LearnerObservation</x:v>
      </x:c>
      <x:c r="E3" s="16" t="str">
        <x:v>M/Process Note</x:v>
      </x:c>
      <x:c r="F3" s="16" t="str">
        <x:v>Status</x:v>
      </x:c>
    </x:row>
    <x:row r="4">
      <x:c r="A4" s="24" t="str">
        <x:v>Promote Headers</x:v>
      </x:c>
      <x:c r="B4" s="24" t="str">
        <x:v>Raw table</x:v>
      </x:c>
      <x:c r="C4" s="24" t="str">
        <x:v>First row becomes headers</x:v>
      </x:c>
      <x:c r="D4" s="24" t="str">
        <x:v>Header row promoted/demoted in disposable branch.</x:v>
      </x:c>
      <x:c r="E4" s="24" t="str">
        <x:v>Table.PromoteHeaders / Table.DemoteHeaders</x:v>
      </x:c>
      <x:c r="F4" s="24" t="str">
        <x:v>Validated</x:v>
      </x:c>
    </x:row>
    <x:row r="5">
      <x:c r="A5" s="24" t="str">
        <x:v>Demote Headers</x:v>
      </x:c>
      <x:c r="B5" s="24" t="str">
        <x:v>Lab table</x:v>
      </x:c>
      <x:c r="C5" s="24" t="str">
        <x:v>Headers become first row</x:v>
      </x:c>
      <x:c r="D5" s="24" t="str">
        <x:v>Headers became data and data became headers in controlled comparison.</x:v>
      </x:c>
      <x:c r="E5" s="24" t="str">
        <x:v>Header operations change table interpretation.</x:v>
      </x:c>
      <x:c r="F5" s="24" t="str">
        <x:v>Validated</x:v>
      </x:c>
    </x:row>
    <x:row r="6">
      <x:c r="A6" s="24" t="str">
        <x:v>Transpose</x:v>
      </x:c>
      <x:c r="B6" s="24" t="str">
        <x:v>Lab table</x:v>
      </x:c>
      <x:c r="C6" s="24" t="str">
        <x:v>Rows ↔ columns; grain changes</x:v>
      </x:c>
      <x:c r="D6" s="24" t="str">
        <x:v>Rows and columns exchanged; grain/shape changed radically.</x:v>
      </x:c>
      <x:c r="E6" s="24" t="str">
        <x:v>Table.Transpose</x:v>
      </x:c>
      <x:c r="F6" s="24" t="str">
        <x:v>Validated</x:v>
      </x:c>
    </x:row>
    <x:row r="7">
      <x:c r="A7" s="24" t="str">
        <x:v>Reverse Rows</x:v>
      </x:c>
      <x:c r="B7" s="24" t="str">
        <x:v>Lab table</x:v>
      </x:c>
      <x:c r="C7" s="24" t="str">
        <x:v>Reverse current row order</x:v>
      </x:c>
      <x:c r="D7" s="24" t="str">
        <x:v>Current row order reversed only.</x:v>
      </x:c>
      <x:c r="E7" s="24" t="str">
        <x:v>Table.ReverseRows</x:v>
      </x:c>
      <x:c r="F7" s="24" t="str">
        <x:v>Validated</x:v>
      </x:c>
    </x:row>
    <x:row r="8">
      <x:c r="A8" s="24" t="str">
        <x:v>Rename / Reorder</x:v>
      </x:c>
      <x:c r="B8" s="24" t="str">
        <x:v>Maintenance/Supplier</x:v>
      </x:c>
      <x:c r="C8" s="24" t="str">
        <x:v>Representation only when names/order change</x:v>
      </x:c>
      <x:c r="D8" s="24" t="str">
        <x:v>Names/order changed without changing business values.</x:v>
      </x:c>
      <x:c r="E8" s="24" t="str">
        <x:v>Table.RenameColumns / Table.ReorderColumns</x:v>
      </x:c>
      <x:c r="F8" s="24" t="str">
        <x:v>Validated</x:v>
      </x:c>
    </x:row>
    <x:row r="9">
      <x:c r="A9" s="24" t="str">
        <x:v>Remove / Choose</x:v>
      </x:c>
      <x:c r="B9" s="24" t="str">
        <x:v>Lab copy</x:v>
      </x:c>
      <x:c r="C9" s="24" t="str">
        <x:v>Explicit projection</x:v>
      </x:c>
      <x:c r="D9" s="24" t="str">
        <x:v>Only requested columns retained.</x:v>
      </x:c>
      <x:c r="E9" s="24" t="str">
        <x:v>Table.SelectColumns / Choose Columns</x:v>
      </x:c>
      <x:c r="F9" s="24" t="str">
        <x:v>Validated</x:v>
      </x:c>
    </x:row>
    <x:row r="10">
      <x:c r="A10" s="24" t="str">
        <x:v>Remove Other Columns</x:v>
      </x:c>
      <x:c r="B10" s="24" t="str">
        <x:v>Resilience lab</x:v>
      </x:c>
      <x:c r="C10" s="24" t="str">
        <x:v>Keep required contract columns; tolerate new optional columns when appropriate</x:v>
      </x:c>
      <x:c r="D10" s="24" t="str">
        <x:v>Required contract columns retained; future optional columns do not need to be named for removal.</x:v>
      </x:c>
      <x:c r="E10" s="24" t="str">
        <x:v>Table.SelectColumns / Remove Other Columns resilience pattern</x:v>
      </x:c>
      <x:c r="F10" s="24" t="str">
        <x:v>Validated</x:v>
      </x:c>
    </x:row>
    <x:row r="11">
      <x:c r="A11" s="24" t="str">
        <x:v>Duplicate Column</x:v>
      </x:c>
      <x:c r="B11" s="24" t="str">
        <x:v>PlantID / WorkOrderID</x:v>
      </x:c>
      <x:c r="C11" s="24" t="str">
        <x:v>Preserve original before extraction/split</x:v>
      </x:c>
      <x:c r="D11" s="24" t="str">
        <x:v>Original identifier preserved before destructive text operations.</x:v>
      </x:c>
      <x:c r="E11" s="24" t="str">
        <x:v>Table.DuplicateColumn or UI duplicate</x:v>
      </x:c>
      <x:c r="F11" s="24" t="str">
        <x:v>Validated</x:v>
      </x:c>
    </x:row>
    <x:row r="12">
      <x:c r="A12" s="24" t="str">
        <x:v>Split by delimiter</x:v>
      </x:c>
      <x:c r="B12" s="24" t="str">
        <x:v>PlantID</x:v>
      </x:c>
      <x:c r="C12" s="24" t="str">
        <x:v>SVR / numeric suffix</x:v>
      </x:c>
      <x:c r="D12" s="24" t="str">
        <x:v>SVR-001 split to SVR and 001.</x:v>
      </x:c>
      <x:c r="E12" s="24" t="str">
        <x:v>Splitter.SplitTextByDelimiter</x:v>
      </x:c>
      <x:c r="F12" s="24" t="str">
        <x:v>Validated</x:v>
      </x:c>
    </x:row>
    <x:row r="13">
      <x:c r="A13" s="24" t="str">
        <x:v>Split by character count</x:v>
      </x:c>
      <x:c r="B13" s="24" t="str">
        <x:v>WorkOrderID</x:v>
      </x:c>
      <x:c r="C13" s="24" t="str">
        <x:v>Controlled fixed-position example</x:v>
      </x:c>
      <x:c r="D13" s="24" t="str">
        <x:v>Fixed-width split demonstrated on WorkOrderID copy.</x:v>
      </x:c>
      <x:c r="E13" s="24" t="str">
        <x:v>Splitter.SplitTextByRepeatedLengths</x:v>
      </x:c>
      <x:c r="F13" s="24" t="str">
        <x:v>Validated</x:v>
      </x:c>
    </x:row>
    <x:row r="14">
      <x:c r="A14" s="24" t="str">
        <x:v>Split by positions</x:v>
      </x:c>
      <x:c r="B14" s="24" t="str">
        <x:v>WorkOrderID</x:v>
      </x:c>
      <x:c r="C14" s="24" t="str">
        <x:v>Controlled fixed positions</x:v>
      </x:c>
      <x:c r="D14" s="24" t="str">
        <x:v>Explicit position split demonstrated on WorkOrderID copy.</x:v>
      </x:c>
      <x:c r="E14" s="24" t="str">
        <x:v>Splitter.SplitTextByPositions</x:v>
      </x:c>
      <x:c r="F14" s="24" t="str">
        <x:v>Validated</x:v>
      </x:c>
    </x:row>
    <x:row r="15">
      <x:c r="A15" s="24" t="str">
        <x:v>Split into rows</x:v>
      </x:c>
      <x:c r="B15" s="24" t="str">
        <x:v>Enter Data mini-lab</x:v>
      </x:c>
      <x:c r="C15" s="24" t="str">
        <x:v>One delimited cell → multiple rows; grain expands</x:v>
      </x:c>
      <x:c r="D15" s="24" t="str">
        <x:v>One tag cell expanded into multiple rows.</x:v>
      </x:c>
      <x:c r="E15" s="24" t="str">
        <x:v>Table.ExpandListColumn after split-to-list behavior</x:v>
      </x:c>
      <x:c r="F15" s="24" t="str">
        <x:v>Validated</x:v>
      </x:c>
    </x:row>
    <x:row r="16">
      <x:c r="A16" s="24" t="str">
        <x:v>Merge Columns</x:v>
      </x:c>
      <x:c r="B16" s="24" t="str">
        <x:v>PlantID components</x:v>
      </x:c>
      <x:c r="C16" s="24" t="str">
        <x:v>Recombine representation</x:v>
      </x:c>
      <x:c r="D16" s="24" t="str">
        <x:v>Identifier components recombined to the original value.</x:v>
      </x:c>
      <x:c r="E16" s="24" t="str">
        <x:v>Table.CombineColumns</x:v>
      </x:c>
      <x:c r="F16" s="24" t="str">
        <x:v>Validated</x:v>
      </x:c>
    </x:row>
    <x:row r="17">
      <x:c r="A17" s="24" t="str">
        <x:v>Extract length/first/last/range</x:v>
      </x:c>
      <x:c r="B17" s="24" t="str">
        <x:v>WorkOrderID / PlantID</x:v>
      </x:c>
      <x:c r="C17" s="24" t="str">
        <x:v>Text inspection examples</x:v>
      </x:c>
      <x:c r="D17" s="24" t="str">
        <x:v>Length/first/last/range extraction verified on identifier copies.</x:v>
      </x:c>
      <x:c r="E17" s="24" t="str">
        <x:v>Text.Length/Text.Start/Text.End/Text.Range</x:v>
      </x:c>
      <x:c r="F17" s="24" t="str">
        <x:v>Validated</x:v>
      </x:c>
    </x:row>
    <x:row r="18">
      <x:c r="A18" s="24" t="str">
        <x:v>Extract before/after delimiter</x:v>
      </x:c>
      <x:c r="B18" s="24" t="str">
        <x:v>PlantID</x:v>
      </x:c>
      <x:c r="C18" s="24" t="str">
        <x:v>Prefix vs identifier number</x:v>
      </x:c>
      <x:c r="D18" s="24" t="str">
        <x:v>Prefix and suffix around '-' extracted correctly.</x:v>
      </x:c>
      <x:c r="E18" s="24" t="str">
        <x:v>Text.BeforeDelimiter / Text.AfterDelimiter</x:v>
      </x:c>
      <x:c r="F18" s="24" t="str">
        <x:v>Validated</x:v>
      </x:c>
    </x:row>
    <x:row r="19">
      <x:c r="A19" s="24" t="str">
        <x:v>Date / time / duration transforms</x:v>
      </x:c>
      <x:c r="B19" s="24" t="str">
        <x:v>Maintenance_Prepared</x:v>
      </x:c>
      <x:c r="C19" s="24" t="str">
        <x:v>Date, time and duration components</x:v>
      </x:c>
      <x:c r="D19" s="24" t="str">
        <x:v>Date-only, time-only and duration-derived values produced on lab copies.</x:v>
      </x:c>
      <x:c r="E19" s="24" t="str">
        <x:v>Date/Time/Duration library transforms</x:v>
      </x:c>
      <x:c r="F19" s="24" t="str">
        <x:v>Validated</x:v>
      </x:c>
    </x:row>
    <x:row r="20">
      <x:c r="A20" s="24" t="str">
        <x:v>Rounding / statistics / standard ops</x:v>
      </x:c>
      <x:c r="B20" s="24" t="str">
        <x:v>Cost/Duration lab</x:v>
      </x:c>
      <x:c r="C20" s="24" t="str">
        <x:v>Numeric transformation and summary</x:v>
      </x:c>
      <x:c r="D20" s="24" t="str">
        <x:v>Rounded/statistical results produced without replacing source business values.</x:v>
      </x:c>
      <x:c r="E20" s="24" t="str">
        <x:v>Number.Round* / List or Table statistics</x:v>
      </x:c>
      <x:c r="F20" s="24" t="str">
        <x:v>Validated</x:v>
      </x:c>
    </x:row>
    <x:row r="21">
      <x:c r="A21" s="24" t="str">
        <x:v>Column from Examples</x:v>
      </x:c>
      <x:c r="B21" s="24" t="str">
        <x:v>PlantID</x:v>
      </x:c>
      <x:c r="C21" s="24" t="str">
        <x:v>Infer plant numeric suffix</x:v>
      </x:c>
      <x:c r="D21" s="24" t="str">
        <x:v>Arithmetic branch demonstrated only where meaning was explicit.</x:v>
      </x:c>
      <x:c r="E21" s="24" t="str">
        <x:v>Number/standard numeric operations</x:v>
      </x:c>
      <x:c r="F21" s="24" t="str">
        <x:v>Validated</x:v>
      </x:c>
    </x:row>
    <x:row r="22">
      <x:c r="A22" s="24" t="str">
        <x:v>Conditional Column</x:v>
      </x:c>
      <x:c r="B22" s="24" t="str">
        <x:v>Maintenance_Prepared</x:v>
      </x:c>
      <x:c r="C22" s="24" t="str">
        <x:v>Cost band / event-state example</x:v>
      </x:c>
      <x:c r="D22" s="24" t="str">
        <x:v>Plant numeric suffix inferred, then M inspected.</x:v>
      </x:c>
      <x:c r="E22" s="24" t="str">
        <x:v>Column from Examples is an inference accelerator, not automatic authority.</x:v>
      </x:c>
      <x:c r="F22" s="24" t="str">
        <x:v>Validated</x:v>
      </x:c>
    </x:row>
    <x:row r="23">
      <x:c r="A23" s="24" t="str">
        <x:v>Custom Column</x:v>
      </x:c>
      <x:c r="B23" s="24" t="str">
        <x:v>Maintenance_Prepared</x:v>
      </x:c>
      <x:c r="C23" s="24" t="str">
        <x:v>Explicit expression</x:v>
      </x:c>
      <x:c r="D23" s="24" t="str">
        <x:v>CostBand generated as lab classification.</x:v>
      </x:c>
      <x:c r="E23" s="24" t="str">
        <x:v>Conditional logic must be owned by a definition if promoted to production.</x:v>
      </x:c>
      <x:c r="F23" s="24" t="str">
        <x:v>Validated</x:v>
      </x:c>
    </x:row>
    <x:row r="24">
      <x:c r="A24" s="24" t="str">
        <x:v>Index Column</x:v>
      </x:c>
      <x:c r="B24" s="24" t="str">
        <x:v>Lab query</x:v>
      </x:c>
      <x:c r="C24" s="24" t="str">
        <x:v>Stable row index for inspection only</x:v>
      </x:c>
      <x:c r="D24" s="24" t="str">
        <x:v>HasKnownDuration generated as a logical custom column.</x:v>
      </x:c>
      <x:c r="E24" s="24" t="str">
        <x:v>Custom column makes the expression explicit.</x:v>
      </x:c>
      <x:c r="F24" s="24" t="str">
        <x:v>Validated</x:v>
      </x:c>
    </x:row>
    <x:row r="25">
      <x:c r="A25" s="24" t="str">
        <x:v>Fill Down / Fill Up</x:v>
      </x:c>
      <x:c r="B25" s="24" t="str">
        <x:v>Enter Data mini-lab</x:v>
      </x:c>
      <x:c r="C25" s="24" t="str">
        <x:v>Fill known repeated labels; distinguish from inventing values</x:v>
      </x:c>
      <x:c r="D25" s="24" t="str">
        <x:v>Index created from current order.</x:v>
      </x:c>
      <x:c r="E25" s="24" t="str">
        <x:v>Index is not automatically a durable source-system key.</x:v>
      </x:c>
      <x:c r="F25" s="24" t="str">
        <x:v>Validated</x:v>
      </x:c>
    </x:row>
    <x:row r="26">
      <x:c r="A26" s="24" t="str">
        <x:v>Group By — multiple aggregations</x:v>
      </x:c>
      <x:c r="B26" s="24" t="str">
        <x:v>Maintenance_Prepared</x:v>
      </x:c>
      <x:c r="C26" s="24" t="str">
        <x:v>Count, total cost, total duration by chosen grouping</x:v>
      </x:c>
      <x:c r="D26" s="24" t="str">
        <x:v>Fill operations demonstrated on controlled repeated-label lab.</x:v>
      </x:c>
      <x:c r="E26" s="24" t="str">
        <x:v>Fill is valid only when blanks inherit documented neighboring context.</x:v>
      </x:c>
      <x:c r="F26" s="24" t="str">
        <x:v>Validated</x:v>
      </x:c>
    </x:row>
    <x:row r="27">
      <x:c r="A27" s="24" t="str">
        <x:v>Group By — All Rows</x:v>
      </x:c>
      <x:c r="B27" s="24" t="str">
        <x:v>Maintenance_Prepared</x:v>
      </x:c>
      <x:c r="C27" s="24" t="str">
        <x:v>Nested tables retained for inspection</x:v>
      </x:c>
      <x:c r="D27" s="24" t="str">
        <x:v>Group By returned multiple aggregations such as count, cost and duration.</x:v>
      </x:c>
      <x:c r="E27" s="24" t="str">
        <x:v>Aggregation changes grain and therefore requires a defined grouping key.</x:v>
      </x:c>
      <x:c r="F27" s="24" t="str">
        <x:v>Validated</x:v>
      </x:c>
    </x:row>
    <x:row r="28">
      <x:c r="D28" t="str">
        <x:v>All Rows retained a nested table for each group.</x:v>
      </x:c>
      <x:c r="E28" t="str">
        <x:v>Nested tables preserve detail for later expansion/aggregation.</x:v>
      </x:c>
    </x:row>
  </x:sheetData>
  <x:mergeCells>
    <x:mergeCell ref="A1:F1"/>
  </x:mergeCells>
  <x:conditionalFormatting sqref="F4:F27">
    <x:cfRule type="expression" dxfId="21" priority="1">
      <x:formula>F4="Validated"</x:formula>
    </x:cfRule>
    <x:cfRule type="expression" dxfId="22" priority="2">
      <x:formula>F4="Needs Review"</x:formula>
    </x:cfRule>
    <x:cfRule type="expression" dxfId="23" priority="3">
      <x:formula>F4="In Progress"</x:formula>
    </x:cfRule>
  </x:conditionalFormatting>
  <x:dataValidations count="1">
    <x:dataValidation type="list" sqref="F4:F27">
      <x:formula1>"Not Started,In Progress,Validated,Needs Review"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8" hidden="0" customWidth="1"/>
    <x:col min="4" max="4" width="30" hidden="0" customWidth="1"/>
    <x:col min="5" max="5" width="58" hidden="0" customWidth="1"/>
    <x:col min="6" max="6" width="18" hidden="0" customWidth="1"/>
  </x:cols>
  <x:sheetData>
    <x:row r="1" ht="26" customHeight="1">
      <x:c r="A1" s="6" t="str">
        <x:v>Reshaping, Pivot, Unpivot and Append Evidence</x:v>
      </x:c>
      <x:c r="B1" s="6"/>
      <x:c r="C1" s="6"/>
      <x:c r="D1" s="6"/>
      <x:c r="E1" s="6"/>
      <x:c r="F1" s="6"/>
    </x:row>
    <x:row r="3" ht="30" customHeight="1">
      <x:c r="A3" s="16" t="str">
        <x:v>Lab</x:v>
      </x:c>
      <x:c r="B3" s="16" t="str">
        <x:v>InputShape</x:v>
      </x:c>
      <x:c r="C3" s="16" t="str">
        <x:v>ExpectedResult</x:v>
      </x:c>
      <x:c r="D3" s="16" t="str">
        <x:v>LearnerResult</x:v>
      </x:c>
      <x:c r="E3" s="16" t="str">
        <x:v>Resilience/Meaning</x:v>
      </x:c>
      <x:c r="F3" s="16" t="str">
        <x:v>Status</x:v>
      </x:c>
    </x:row>
    <x:row r="4">
      <x:c r="A4" s="24" t="str">
        <x:v>Targets — Unpivot Other Columns</x:v>
      </x:c>
      <x:c r="B4" s="24" t="str">
        <x:v>23 wide rows × 3 months</x:v>
      </x:c>
      <x:c r="C4" s="24" t="str">
        <x:v>69 rows</x:v>
      </x:c>
      <x:c r="D4" s="24" t="str">
        <x:v>69 rows</x:v>
      </x:c>
      <x:c r="E4" s="24" t="str">
        <x:v>Preferred resilient pattern: identifier columns stay fixed while month columns become rows.</x:v>
      </x:c>
      <x:c r="F4" s="24" t="str">
        <x:v>Validated</x:v>
      </x:c>
    </x:row>
    <x:row r="5">
      <x:c r="A5" s="24" t="str">
        <x:v>Targets — Unpivot Selected Columns</x:v>
      </x:c>
      <x:c r="B5" s="24" t="str">
        <x:v>Jul/Aug/Sep selected</x:v>
      </x:c>
      <x:c r="C5" s="24" t="str">
        <x:v>69 rows</x:v>
      </x:c>
      <x:c r="D5" s="24" t="str">
        <x:v>69 rows</x:v>
      </x:c>
      <x:c r="E5" s="24" t="str">
        <x:v>Correct for Jul-Sep, but the hard-coded selection must be edited when another month appears.</x:v>
      </x:c>
      <x:c r="F5" s="24" t="str">
        <x:v>Validated</x:v>
      </x:c>
    </x:row>
    <x:row r="6">
      <x:c r="A6" s="24" t="str">
        <x:v>Targets added-October variant</x:v>
      </x:c>
      <x:c r="B6" s="24" t="str">
        <x:v>23 wide rows × 4 months</x:v>
      </x:c>
      <x:c r="C6" s="24" t="str">
        <x:v>92 rows</x:v>
      </x:c>
      <x:c r="D6" s="24" t="str">
        <x:v>92 rows</x:v>
      </x:c>
      <x:c r="E6" s="24" t="str">
        <x:v>October is captured automatically because it is another non-identifier column.</x:v>
      </x:c>
      <x:c r="F6" s="24" t="str">
        <x:v>Validated</x:v>
      </x:c>
    </x:row>
    <x:row r="7">
      <x:c r="A7" s="24" t="str">
        <x:v>Pivot without aggregation</x:v>
      </x:c>
      <x:c r="B7" s="24" t="str">
        <x:v>PlantID + TargetMonth retained</x:v>
      </x:c>
      <x:c r="C7" s="24" t="str">
        <x:v>One row per PlantID/TargetMonth with target-type columns</x:v>
      </x:c>
      <x:c r="D7" s="24" t="str">
        <x:v>One row per PlantID/TargetMonth with target-type columns</x:v>
      </x:c>
      <x:c r="E7" s="24" t="str">
        <x:v>No aggregation required when retained keys make the value unique.</x:v>
      </x:c>
      <x:c r="F7" s="24" t="str">
        <x:v>Validated</x:v>
      </x:c>
    </x:row>
    <x:row r="8">
      <x:c r="A8" s="24" t="str">
        <x:v>Pivot with aggregation</x:v>
      </x:c>
      <x:c r="B8" s="24" t="str">
        <x:v>Remove PlantID; pivot TargetType by TargetMonth</x:v>
      </x:c>
      <x:c r="C8" s="24" t="str">
        <x:v>Aggregate across plants</x:v>
      </x:c>
      <x:c r="D8" s="24" t="str">
        <x:v>Aggregated monthly target totals by target type</x:v>
      </x:c>
      <x:c r="E8" s="24" t="str">
        <x:v>Aggregation is necessary after PlantID is removed from the retained grain.</x:v>
      </x:c>
      <x:c r="F8" s="24" t="str">
        <x:v>Validated</x:v>
      </x:c>
    </x:row>
    <x:row r="9">
      <x:c r="A9" s="24" t="str">
        <x:v>Append two</x:v>
      </x:c>
      <x:c r="B9" s="24" t="str">
        <x:v>July + August generation</x:v>
      </x:c>
      <x:c r="C9" s="24" t="str">
        <x:v>682 rows</x:v>
      </x:c>
      <x:c r="D9" s="24" t="str">
        <x:v>682 rows</x:v>
      </x:c>
      <x:c r="E9" s="24" t="str">
        <x:v>Append stacks compatible rows; it does not join by key.</x:v>
      </x:c>
      <x:c r="F9" s="24" t="str">
        <x:v>Validated</x:v>
      </x:c>
    </x:row>
    <x:row r="10">
      <x:c r="A10" s="24" t="str">
        <x:v>Append three</x:v>
      </x:c>
      <x:c r="B10" s="24" t="str">
        <x:v>July + August + September</x:v>
      </x:c>
      <x:c r="C10" s="24" t="str">
        <x:v>1012 rows</x:v>
      </x:c>
      <x:c r="D10" s="24" t="str">
        <x:v>1012 rows</x:v>
      </x:c>
      <x:c r="E10" s="24" t="str">
        <x:v>Three healthy month extracts reconcile to the frozen folder baseline.</x:v>
      </x:c>
      <x:c r="F10" s="24" t="str">
        <x:v>Validated</x:v>
      </x:c>
    </x:row>
  </x:sheetData>
  <x:mergeCells>
    <x:mergeCell ref="A1:F1"/>
  </x:mergeCells>
  <x:conditionalFormatting sqref="F4:F10">
    <x:cfRule type="expression" dxfId="24" priority="1">
      <x:formula>F4="Validated"</x:formula>
    </x:cfRule>
    <x:cfRule type="expression" dxfId="25" priority="2">
      <x:formula>F4="Needs Review"</x:formula>
    </x:cfRule>
    <x:cfRule type="expression" dxfId="26" priority="3">
      <x:formula>F4="In Progress"</x:formula>
    </x:cfRule>
  </x:conditionalFormatting>
  <x:dataValidations count="1">
    <x:dataValidation type="list" sqref="F4:F10">
      <x:formula1>"Not Started,In Progress,Validated,Needs Review"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22" hidden="0" customWidth="1"/>
    <x:col min="5" max="5" width="24" hidden="0" customWidth="1"/>
    <x:col min="6" max="6" width="25" hidden="0" customWidth="1"/>
    <x:col min="7" max="7" width="20" hidden="0" customWidth="1"/>
    <x:col min="8" max="8" width="18" hidden="0" customWidth="1"/>
  </x:cols>
  <x:sheetData>
    <x:row r="1" ht="26" customHeight="1">
      <x:c r="A1" s="6" t="str">
        <x:v>All Join Kinds — Controlled Reconciliation Lab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JoinKind</x:v>
      </x:c>
      <x:c r="B3" s="16" t="str">
        <x:v>LeftRows</x:v>
      </x:c>
      <x:c r="C3" s="16" t="str">
        <x:v>RightRows</x:v>
      </x:c>
      <x:c r="D3" s="16" t="str">
        <x:v>ExpectedOutputRows</x:v>
      </x:c>
      <x:c r="E3" s="16" t="str">
        <x:v>ExpectedLeftUnmatched</x:v>
      </x:c>
      <x:c r="F3" s="16" t="str">
        <x:v>ExpectedRightUnmatched</x:v>
      </x:c>
      <x:c r="G3" s="16" t="str">
        <x:v>LearnerOutputRows</x:v>
      </x:c>
      <x:c r="H3" s="16" t="str">
        <x:v>Status</x:v>
      </x:c>
    </x:row>
    <x:row r="4">
      <x:c r="A4" s="24" t="str">
        <x:v>Left Outer</x:v>
      </x:c>
      <x:c r="B4" s="24" t="n">
        <x:v>12</x:v>
      </x:c>
      <x:c r="C4" s="24" t="n">
        <x:v>12</x:v>
      </x:c>
      <x:c r="D4" s="24" t="n">
        <x:v>12</x:v>
      </x:c>
      <x:c r="E4" s="24" t="n">
        <x:v>2</x:v>
      </x:c>
      <x:c r="F4" s="24" t="n">
        <x:v>2</x:v>
      </x:c>
      <x:c r="G4" s="24" t="n">
        <x:v>12</x:v>
      </x:c>
      <x:c r="H4" s="24" t="str">
        <x:v>Validated</x:v>
      </x:c>
    </x:row>
    <x:row r="5">
      <x:c r="A5" s="24" t="str">
        <x:v>Right Outer</x:v>
      </x:c>
      <x:c r="B5" s="24" t="n">
        <x:v>12</x:v>
      </x:c>
      <x:c r="C5" s="24" t="n">
        <x:v>12</x:v>
      </x:c>
      <x:c r="D5" s="24" t="n">
        <x:v>12</x:v>
      </x:c>
      <x:c r="E5" s="24" t="n">
        <x:v>2</x:v>
      </x:c>
      <x:c r="F5" s="24" t="n">
        <x:v>2</x:v>
      </x:c>
      <x:c r="G5" s="24" t="n">
        <x:v>12</x:v>
      </x:c>
      <x:c r="H5" s="24" t="str">
        <x:v>Validated</x:v>
      </x:c>
    </x:row>
    <x:row r="6">
      <x:c r="A6" s="24" t="str">
        <x:v>Full Outer</x:v>
      </x:c>
      <x:c r="B6" s="24" t="n">
        <x:v>12</x:v>
      </x:c>
      <x:c r="C6" s="24" t="n">
        <x:v>12</x:v>
      </x:c>
      <x:c r="D6" s="24" t="n">
        <x:v>14</x:v>
      </x:c>
      <x:c r="E6" s="24" t="n">
        <x:v>2</x:v>
      </x:c>
      <x:c r="F6" s="24" t="n">
        <x:v>2</x:v>
      </x:c>
      <x:c r="G6" s="24" t="n">
        <x:v>14</x:v>
      </x:c>
      <x:c r="H6" s="24" t="str">
        <x:v>Validated</x:v>
      </x:c>
    </x:row>
    <x:row r="7">
      <x:c r="A7" s="24" t="str">
        <x:v>Inner</x:v>
      </x:c>
      <x:c r="B7" s="24" t="n">
        <x:v>12</x:v>
      </x:c>
      <x:c r="C7" s="24" t="n">
        <x:v>12</x:v>
      </x:c>
      <x:c r="D7" s="24" t="n">
        <x:v>10</x:v>
      </x:c>
      <x:c r="E7" s="24" t="n">
        <x:v>2</x:v>
      </x:c>
      <x:c r="F7" s="24" t="n">
        <x:v>2</x:v>
      </x:c>
      <x:c r="G7" s="24" t="n">
        <x:v>10</x:v>
      </x:c>
      <x:c r="H7" s="24" t="str">
        <x:v>Validated</x:v>
      </x:c>
    </x:row>
    <x:row r="8">
      <x:c r="A8" s="24" t="str">
        <x:v>Left Anti</x:v>
      </x:c>
      <x:c r="B8" s="24" t="n">
        <x:v>12</x:v>
      </x:c>
      <x:c r="C8" s="24" t="n">
        <x:v>12</x:v>
      </x:c>
      <x:c r="D8" s="24" t="n">
        <x:v>2</x:v>
      </x:c>
      <x:c r="E8" s="24" t="n">
        <x:v>2</x:v>
      </x:c>
      <x:c r="F8" s="24" t="n">
        <x:v>2</x:v>
      </x:c>
      <x:c r="G8" s="24" t="n">
        <x:v>2</x:v>
      </x:c>
      <x:c r="H8" s="24" t="str">
        <x:v>Validated</x:v>
      </x:c>
    </x:row>
    <x:row r="9">
      <x:c r="A9" s="24" t="str">
        <x:v>Right Anti</x:v>
      </x:c>
      <x:c r="B9" s="24" t="n">
        <x:v>12</x:v>
      </x:c>
      <x:c r="C9" s="24" t="n">
        <x:v>12</x:v>
      </x:c>
      <x:c r="D9" s="24" t="n">
        <x:v>2</x:v>
      </x:c>
      <x:c r="E9" s="24" t="n">
        <x:v>2</x:v>
      </x:c>
      <x:c r="F9" s="24" t="n">
        <x:v>2</x:v>
      </x:c>
      <x:c r="G9" s="24" t="n">
        <x:v>2</x:v>
      </x:c>
      <x:c r="H9" s="24" t="str">
        <x:v>Validated</x:v>
      </x:c>
    </x:row>
  </x:sheetData>
  <x:mergeCells>
    <x:mergeCell ref="A1:H1"/>
  </x:mergeCells>
  <x:conditionalFormatting sqref="H4:H9">
    <x:cfRule type="expression" dxfId="27" priority="1">
      <x:formula>H4="Validated"</x:formula>
    </x:cfRule>
    <x:cfRule type="expression" dxfId="28" priority="2">
      <x:formula>H4="Needs Review"</x:formula>
    </x:cfRule>
    <x:cfRule type="expression" dxfId="29" priority="3">
      <x:formula>H4="In Progress"</x:formula>
    </x:cfRule>
  </x:conditionalFormatting>
  <x:dataValidations count="1">
    <x:dataValidation type="list" sqref="H4:H9">
      <x:formula1>"Not Started,In Progress,Validated,Needs Review"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64" hidden="0" customWidth="1"/>
    <x:col min="4" max="4" width="18" hidden="0" customWidth="1"/>
    <x:col min="5" max="5" width="18" hidden="0" customWidth="1"/>
  </x:cols>
  <x:sheetData>
    <x:row r="1" ht="26" customHeight="1">
      <x:c r="A1" s="6" t="str">
        <x:v>Supplier Match Pipeline Reconciliation</x:v>
      </x:c>
      <x:c r="B1" s="6"/>
      <x:c r="C1" s="6"/>
      <x:c r="D1" s="6"/>
      <x:c r="E1" s="6"/>
    </x:row>
    <x:row r="3" ht="30" customHeight="1">
      <x:c r="A3" s="16" t="str">
        <x:v>MatchMethod</x:v>
      </x:c>
      <x:c r="B3" s="16" t="str">
        <x:v>ExpectedRows</x:v>
      </x:c>
      <x:c r="C3" s="16" t="str">
        <x:v>GroundTruth</x:v>
      </x:c>
      <x:c r="D3" s="16" t="str">
        <x:v>LearnerRows</x:v>
      </x:c>
      <x:c r="E3" s="16" t="str">
        <x:v>Status</x:v>
      </x:c>
    </x:row>
    <x:row r="4">
      <x:c r="A4" s="24" t="str">
        <x:v>Exact</x:v>
      </x:c>
      <x:c r="B4" s="24" t="n">
        <x:v>12</x:v>
      </x:c>
      <x:c r="C4" s="24" t="str">
        <x:v>Names already equal canonical supplier names</x:v>
      </x:c>
      <x:c r="D4" s="24" t="n">
        <x:v>12</x:v>
      </x:c>
      <x:c r="E4" s="24" t="str">
        <x:v>Validated</x:v>
      </x:c>
    </x:row>
    <x:row r="5">
      <x:c r="A5" s="24" t="str">
        <x:v>Transformation</x:v>
      </x:c>
      <x:c r="B5" s="24" t="n">
        <x:v>8</x:v>
      </x:c>
      <x:c r="C5" s="24" t="str">
        <x:v>Aliases resolved by Supplier_Name_Transformations.csv</x:v>
      </x:c>
      <x:c r="D5" s="24" t="n">
        <x:v>8</x:v>
      </x:c>
      <x:c r="E5" s="24" t="str">
        <x:v>Validated</x:v>
      </x:c>
    </x:row>
    <x:row r="6">
      <x:c r="A6" s="24" t="str">
        <x:v>Fuzzy</x:v>
      </x:c>
      <x:c r="B6" s="24" t="n">
        <x:v>10</x:v>
      </x:c>
      <x:c r="C6" s="24" t="str">
        <x:v>Near-duplicate spellings resolved with threshold-based fuzzy match</x:v>
      </x:c>
      <x:c r="D6" s="24" t="n">
        <x:v>10</x:v>
      </x:c>
      <x:c r="E6" s="24" t="str">
        <x:v>Validated</x:v>
      </x:c>
    </x:row>
    <x:row r="7">
      <x:c r="A7" s="24" t="str">
        <x:v>Unmatched</x:v>
      </x:c>
      <x:c r="B7" s="24" t="n">
        <x:v>6</x:v>
      </x:c>
      <x:c r="C7" s="24" t="str">
        <x:v>Genuinely different suppliers retained with null SupplierID</x:v>
      </x:c>
      <x:c r="D7" s="24" t="n">
        <x:v>6</x:v>
      </x:c>
      <x:c r="E7" s="24" t="str">
        <x:v>Validated</x:v>
      </x:c>
    </x:row>
    <x:row r="8">
      <x:c r="A8" s="24" t="str">
        <x:v>Total</x:v>
      </x:c>
      <x:c r="B8" s="24" t="n">
        <x:v>36</x:v>
      </x:c>
      <x:c r="C8" s="24" t="str">
        <x:v>30 matched + 6 unmatched</x:v>
      </x:c>
      <x:c r="D8" s="24" t="n">
        <x:v>36</x:v>
      </x:c>
      <x:c r="E8" s="24" t="str">
        <x:v>Validated</x:v>
      </x:c>
    </x:row>
  </x:sheetData>
  <x:mergeCells>
    <x:mergeCell ref="A1:E1"/>
  </x:mergeCells>
  <x:conditionalFormatting sqref="E4:E8">
    <x:cfRule type="expression" dxfId="30" priority="1">
      <x:formula>E4="Validated"</x:formula>
    </x:cfRule>
    <x:cfRule type="expression" dxfId="31" priority="2">
      <x:formula>E4="Needs Review"</x:formula>
    </x:cfRule>
    <x:cfRule type="expression" dxfId="32" priority="3">
      <x:formula>E4="In Progress"</x:formula>
    </x:cfRule>
  </x:conditionalFormatting>
  <x:dataValidations count="1">
    <x:dataValidation type="list" sqref="E4:E8">
      <x:formula1>"Not Started,In Progress,Validated,Needs Review"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70" hidden="0" customWidth="1"/>
    <x:col min="4" max="4" width="28" hidden="0" customWidth="1"/>
    <x:col min="5" max="5" width="18" hidden="0" customWidth="1"/>
  </x:cols>
  <x:sheetData>
    <x:row r="1" ht="26" customHeight="1">
      <x:c r="A1" s="6" t="str">
        <x:v>Folder Ingestion and Combine Files Validation</x:v>
      </x:c>
      <x:c r="B1" s="6"/>
      <x:c r="C1" s="6"/>
      <x:c r="D1" s="6"/>
      <x:c r="E1" s="6"/>
    </x:row>
    <x:row r="3" ht="30" customHeight="1">
      <x:c r="A3" s="16" t="str">
        <x:v>Item</x:v>
      </x:c>
      <x:c r="B3" s="16" t="str">
        <x:v>ExpectedValue</x:v>
      </x:c>
      <x:c r="C3" s="16" t="str">
        <x:v>Unit/Guidance</x:v>
      </x:c>
      <x:c r="D3" s="16" t="str">
        <x:v>LearnerResult</x:v>
      </x:c>
      <x:c r="E3" s="16" t="str">
        <x:v>Status</x:v>
      </x:c>
    </x:row>
    <x:row r="4">
      <x:c r="A4" s="24" t="str">
        <x:v>2026_07_Generation.csv</x:v>
      </x:c>
      <x:c r="B4" s="24" t="n">
        <x:v>341</x:v>
      </x:c>
      <x:c r="C4" s="24" t="str"/>
      <x:c r="D4" s="24" t="str">
        <x:v>341 rows</x:v>
      </x:c>
      <x:c r="E4" s="24" t="str">
        <x:v>Validated</x:v>
      </x:c>
    </x:row>
    <x:row r="5">
      <x:c r="A5" s="24" t="str">
        <x:v>2026_08_Generation.csv</x:v>
      </x:c>
      <x:c r="B5" s="24" t="n">
        <x:v>341</x:v>
      </x:c>
      <x:c r="C5" s="24" t="str"/>
      <x:c r="D5" s="24" t="str">
        <x:v>341 rows</x:v>
      </x:c>
      <x:c r="E5" s="24" t="str">
        <x:v>Validated</x:v>
      </x:c>
    </x:row>
    <x:row r="6">
      <x:c r="A6" s="24" t="str">
        <x:v>2026_09_Generation.csv</x:v>
      </x:c>
      <x:c r="B6" s="24" t="n">
        <x:v>330</x:v>
      </x:c>
      <x:c r="C6" s="24" t="str"/>
      <x:c r="D6" s="24" t="str">
        <x:v>330 rows</x:v>
      </x:c>
      <x:c r="E6" s="24" t="str">
        <x:v>Validated</x:v>
      </x:c>
    </x:row>
    <x:row r="7">
      <x:c r="A7" s="24" t="str">
        <x:v>Combined row count</x:v>
      </x:c>
      <x:c r="B7" s="24" t="n">
        <x:v>1012</x:v>
      </x:c>
      <x:c r="C7" s="24" t="str"/>
      <x:c r="D7" s="24" t="str">
        <x:v>1012 rows</x:v>
      </x:c>
      <x:c r="E7" s="24" t="str">
        <x:v>Validated</x:v>
      </x:c>
    </x:row>
    <x:row r="8">
      <x:c r="A8" s="24" t="str">
        <x:v>ActualGenerationMWh total</x:v>
      </x:c>
      <x:c r="B8" s="24" t="n">
        <x:v>2088673.2</x:v>
      </x:c>
      <x:c r="C8" s="24" t="str">
        <x:v>MWh</x:v>
      </x:c>
      <x:c r="D8" s="24" t="str">
        <x:v>2,088,673.20 MWh</x:v>
      </x:c>
      <x:c r="E8" s="24" t="str">
        <x:v>Validated</x:v>
      </x:c>
    </x:row>
    <x:row r="9">
      <x:c r="A9" s="24" t="str">
        <x:v>ForecastGenerationMWh total</x:v>
      </x:c>
      <x:c r="B9" s="24" t="n">
        <x:v>2077142.54</x:v>
      </x:c>
      <x:c r="C9" s="24" t="str">
        <x:v>MWh</x:v>
      </x:c>
      <x:c r="D9" s="24" t="str">
        <x:v>2,077,142.54 MWh</x:v>
      </x:c>
      <x:c r="E9" s="24" t="str">
        <x:v>Validated</x:v>
      </x:c>
    </x:row>
    <x:row r="10">
      <x:c r="A10" s="24" t="str">
        <x:v>Variance total</x:v>
      </x:c>
      <x:c r="B10" s="24" t="n">
        <x:v>11530.66</x:v>
      </x:c>
      <x:c r="C10" s="24" t="str">
        <x:v>MWh</x:v>
      </x:c>
      <x:c r="D10" s="24" t="str">
        <x:v>11,530.66 MWh</x:v>
      </x:c>
      <x:c r="E10" s="24" t="str">
        <x:v>Validated</x:v>
      </x:c>
    </x:row>
    <x:row r="11">
      <x:c r="A11" s="24" t="str">
        <x:v>Helper-query chain</x:v>
      </x:c>
      <x:c r="B11" s="24" t="str"/>
      <x:c r="C11" s="24" t="str">
        <x:v>Sample File → Transform Sample File/function → invoked transform → combined output</x:v>
      </x:c>
      <x:c r="D11" s="24" t="str">
        <x:v>Sample File → Transform Sample File/function → invoked transform → combined output verified</x:v>
      </x:c>
      <x:c r="E11" s="24" t="str">
        <x:v>Validated</x:v>
      </x:c>
    </x:row>
  </x:sheetData>
  <x:mergeCells>
    <x:mergeCell ref="A1:E1"/>
  </x:mergeCells>
  <x:conditionalFormatting sqref="E4:E11">
    <x:cfRule type="expression" dxfId="33" priority="1">
      <x:formula>E4="Validated"</x:formula>
    </x:cfRule>
    <x:cfRule type="expression" dxfId="34" priority="2">
      <x:formula>E4="Needs Review"</x:formula>
    </x:cfRule>
    <x:cfRule type="expression" dxfId="35" priority="3">
      <x:formula>E4="In Progress"</x:formula>
    </x:cfRule>
  </x:conditionalFormatting>
  <x:dataValidations count="1">
    <x:dataValidation type="list" sqref="E4:E11">
      <x:formula1>"Not Started,In Progress,Validated,Needs Review"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8" hidden="0" customWidth="1"/>
    <x:col min="4" max="4" width="46" hidden="0" customWidth="1"/>
    <x:col min="5" max="5" width="30" hidden="0" customWidth="1"/>
    <x:col min="6" max="6" width="18" hidden="0" customWidth="1"/>
  </x:cols>
  <x:sheetData>
    <x:row r="1" ht="26" customHeight="1">
      <x:c r="A1" s="6" t="str">
        <x:v>Nested JSON, XML, Table and Record Evidence</x:v>
      </x:c>
      <x:c r="B1" s="6"/>
      <x:c r="C1" s="6"/>
      <x:c r="D1" s="6"/>
      <x:c r="E1" s="6"/>
      <x:c r="F1" s="6"/>
    </x:row>
    <x:row r="3" ht="30" customHeight="1">
      <x:c r="A3" s="16" t="str">
        <x:v>Source/Lab</x:v>
      </x:c>
      <x:c r="B3" s="16" t="str">
        <x:v>ExpectedGrain</x:v>
      </x:c>
      <x:c r="C3" s="16" t="str">
        <x:v>ExpectedRows</x:v>
      </x:c>
      <x:c r="D3" s="16" t="str">
        <x:v>NestedDetail</x:v>
      </x:c>
      <x:c r="E3" s="16" t="str">
        <x:v>LearnerResult</x:v>
      </x:c>
      <x:c r="F3" s="16" t="str">
        <x:v>Status</x:v>
      </x:c>
    </x:row>
    <x:row r="4">
      <x:c r="A4" s="24" t="str">
        <x:v>Weather_Nested.json</x:v>
      </x:c>
      <x:c r="B4" s="24" t="str">
        <x:v>Region-day observations</x:v>
      </x:c>
      <x:c r="C4" s="24" t="n">
        <x:v>20</x:v>
      </x:c>
      <x:c r="D4" s="24" t="str">
        <x:v>6 nested alerts</x:v>
      </x:c>
      <x:c r="E4" s="24" t="str">
        <x:v>20 flattened observations; 6 alert records retained from nested structure.</x:v>
      </x:c>
      <x:c r="F4" s="24" t="str">
        <x:v>Validated</x:v>
      </x:c>
    </x:row>
    <x:row r="5">
      <x:c r="A5" s="24" t="str">
        <x:v>Maintenance_Nested.xml</x:v>
      </x:c>
      <x:c r="B5" s="24" t="str">
        <x:v>Maintenance events</x:v>
      </x:c>
      <x:c r="C5" s="24" t="n">
        <x:v>12</x:v>
      </x:c>
      <x:c r="D5" s="24" t="str">
        <x:v>18 part records</x:v>
      </x:c>
      <x:c r="E5" s="24" t="str">
        <x:v>12 parent maintenance events; 18 part records when parts are expanded.</x:v>
      </x:c>
      <x:c r="F5" s="24" t="str">
        <x:v>Validated</x:v>
      </x:c>
    </x:row>
    <x:row r="6">
      <x:c r="A6" s="24" t="str">
        <x:v>Nested table expansion</x:v>
      </x:c>
      <x:c r="B6" s="24" t="str">
        <x:v>Supplier/merge nested table</x:v>
      </x:c>
      <x:c r="C6" s="24" t="str">
        <x:v>Depends on lab</x:v>
      </x:c>
      <x:c r="D6" s="24" t="str">
        <x:v>Expansion can multiply rows</x:v>
      </x:c>
      <x:c r="E6" s="24" t="str">
        <x:v>Expansion can multiply parent rows when a nested table contains multiple children.</x:v>
      </x:c>
      <x:c r="F6" s="24" t="str">
        <x:v>Validated</x:v>
      </x:c>
    </x:row>
    <x:row r="7">
      <x:c r="A7" s="24" t="str">
        <x:v>Nested aggregation</x:v>
      </x:c>
      <x:c r="B7" s="24" t="str">
        <x:v>Supplier/merge nested table</x:v>
      </x:c>
      <x:c r="C7" s="24" t="str">
        <x:v>Depends on lab</x:v>
      </x:c>
      <x:c r="D7" s="24" t="str">
        <x:v>Aggregation preserves one parent row</x:v>
      </x:c>
      <x:c r="E7" s="24" t="str">
        <x:v>Aggregation summarizes nested children while preserving one parent row.</x:v>
      </x:c>
      <x:c r="F7" s="24" t="str">
        <x:v>Validated</x:v>
      </x:c>
    </x:row>
  </x:sheetData>
  <x:mergeCells>
    <x:mergeCell ref="A1:F1"/>
  </x:mergeCells>
  <x:conditionalFormatting sqref="F4:F7">
    <x:cfRule type="expression" dxfId="36" priority="1">
      <x:formula>F4="Validated"</x:formula>
    </x:cfRule>
    <x:cfRule type="expression" dxfId="37" priority="2">
      <x:formula>F4="Needs Review"</x:formula>
    </x:cfRule>
    <x:cfRule type="expression" dxfId="38" priority="3">
      <x:formula>F4="In Progress"</x:formula>
    </x:cfRule>
  </x:conditionalFormatting>
  <x:dataValidations count="1">
    <x:dataValidation type="list" sqref="F4:F7">
      <x:formula1>"Not Started,In Progress,Validated,Needs Review"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28" hidden="0" customWidth="1"/>
    <x:col min="5" max="5" width="18" hidden="0" customWidth="1"/>
  </x:cols>
  <x:sheetData>
    <x:row r="1" ht="26" customHeight="1">
      <x:c r="A1" s="6" t="str">
        <x:v>JSON/XML Text Payload Parsing</x:v>
      </x:c>
      <x:c r="B1" s="6"/>
      <x:c r="C1" s="6"/>
      <x:c r="D1" s="6"/>
      <x:c r="E1" s="6"/>
    </x:row>
    <x:row r="3" ht="30" customHeight="1">
      <x:c r="A3" s="16" t="str">
        <x:v>Metric</x:v>
      </x:c>
      <x:c r="B3" s="16" t="str">
        <x:v>Expected</x:v>
      </x:c>
      <x:c r="C3" s="16" t="str">
        <x:v>Condition</x:v>
      </x:c>
      <x:c r="D3" s="16" t="str">
        <x:v>LearnerResult</x:v>
      </x:c>
      <x:c r="E3" s="16" t="str">
        <x:v>Status</x:v>
      </x:c>
    </x:row>
    <x:row r="4">
      <x:c r="A4" s="24" t="str">
        <x:v>Total payload rows</x:v>
      </x:c>
      <x:c r="B4" s="24" t="n">
        <x:v>12</x:v>
      </x:c>
      <x:c r="C4" s="24" t="str"/>
      <x:c r="D4" s="24" t="n">
        <x:v>12</x:v>
      </x:c>
      <x:c r="E4" s="24" t="str">
        <x:v>Validated</x:v>
      </x:c>
    </x:row>
    <x:row r="5">
      <x:c r="A5" s="24" t="str">
        <x:v>JSON payload rows</x:v>
      </x:c>
      <x:c r="B5" s="24" t="n">
        <x:v>6</x:v>
      </x:c>
      <x:c r="C5" s="24" t="str"/>
      <x:c r="D5" s="24" t="n">
        <x:v>6</x:v>
      </x:c>
      <x:c r="E5" s="24" t="str">
        <x:v>Validated</x:v>
      </x:c>
    </x:row>
    <x:row r="6">
      <x:c r="A6" s="24" t="str">
        <x:v>XML payload rows</x:v>
      </x:c>
      <x:c r="B6" s="24" t="n">
        <x:v>6</x:v>
      </x:c>
      <x:c r="C6" s="24" t="str"/>
      <x:c r="D6" s="24" t="n">
        <x:v>6</x:v>
      </x:c>
      <x:c r="E6" s="24" t="str">
        <x:v>Validated</x:v>
      </x:c>
    </x:row>
    <x:row r="7">
      <x:c r="A7" s="24" t="str">
        <x:v>Parse successes</x:v>
      </x:c>
      <x:c r="B7" s="24" t="n">
        <x:v>11</x:v>
      </x:c>
      <x:c r="C7" s="24" t="str"/>
      <x:c r="D7" s="24" t="n">
        <x:v>11</x:v>
      </x:c>
      <x:c r="E7" s="24" t="str">
        <x:v>Validated</x:v>
      </x:c>
    </x:row>
    <x:row r="8">
      <x:c r="A8" s="24" t="str">
        <x:v>Controlled parse error</x:v>
      </x:c>
      <x:c r="B8" s="24" t="n">
        <x:v>1</x:v>
      </x:c>
      <x:c r="C8" s="24" t="str">
        <x:v>PAY-006 malformed JSON</x:v>
      </x:c>
      <x:c r="D8" s="24" t="str">
        <x:v>1 — PAY-006 malformed JSON</x:v>
      </x:c>
      <x:c r="E8" s="24" t="str">
        <x:v>Validated</x:v>
      </x:c>
    </x:row>
  </x:sheetData>
  <x:mergeCells>
    <x:mergeCell ref="A1:E1"/>
  </x:mergeCells>
  <x:conditionalFormatting sqref="E4:E8">
    <x:cfRule type="expression" dxfId="39" priority="1">
      <x:formula>E4="Validated"</x:formula>
    </x:cfRule>
    <x:cfRule type="expression" dxfId="40" priority="2">
      <x:formula>E4="Needs Review"</x:formula>
    </x:cfRule>
    <x:cfRule type="expression" dxfId="41" priority="3">
      <x:formula>E4="In Progress"</x:formula>
    </x:cfRule>
  </x:conditionalFormatting>
  <x:dataValidations count="1">
    <x:dataValidation type="list" sqref="E4:E8">
      <x:formula1>"Not Started,In Progress,Validated,Needs Review"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6" customHeight="1">
      <x:c r="A1" s="6" t="str">
        <x:v>Paginated API / Local Page Contract</x:v>
      </x:c>
      <x:c r="B1" s="6"/>
      <x:c r="C1" s="6"/>
      <x:c r="D1" s="6"/>
      <x:c r="E1" s="6"/>
      <x:c r="F1" s="6"/>
    </x:row>
    <x:row r="3" ht="30" customHeight="1">
      <x:c r="A3" s="16" t="str">
        <x:v>Page</x:v>
      </x:c>
      <x:c r="B3" s="16" t="str">
        <x:v>ExpectedRows</x:v>
      </x:c>
      <x:c r="C3" s="16" t="str">
        <x:v>ExpectedNextPage</x:v>
      </x:c>
      <x:c r="D3" s="16" t="str">
        <x:v>LearnerRows</x:v>
      </x:c>
      <x:c r="E3" s="16" t="str">
        <x:v>LearnerNextPage</x:v>
      </x:c>
      <x:c r="F3" s="16" t="str">
        <x:v>Status</x:v>
      </x:c>
    </x:row>
    <x:row r="4">
      <x:c r="A4" s="24" t="n">
        <x:v>1</x:v>
      </x:c>
      <x:c r="B4" s="24" t="n">
        <x:v>7</x:v>
      </x:c>
      <x:c r="C4" s="24" t="n">
        <x:v>2</x:v>
      </x:c>
      <x:c r="D4" s="24" t="n">
        <x:v>7</x:v>
      </x:c>
      <x:c r="E4" s="24" t="n">
        <x:v>2</x:v>
      </x:c>
      <x:c r="F4" s="24" t="str">
        <x:v>Validated</x:v>
      </x:c>
    </x:row>
    <x:row r="5">
      <x:c r="A5" s="24" t="n">
        <x:v>2</x:v>
      </x:c>
      <x:c r="B5" s="24" t="n">
        <x:v>7</x:v>
      </x:c>
      <x:c r="C5" s="24" t="n">
        <x:v>3</x:v>
      </x:c>
      <x:c r="D5" s="24" t="n">
        <x:v>7</x:v>
      </x:c>
      <x:c r="E5" s="24" t="n">
        <x:v>3</x:v>
      </x:c>
      <x:c r="F5" s="24" t="str">
        <x:v>Validated</x:v>
      </x:c>
    </x:row>
    <x:row r="6">
      <x:c r="A6" s="24" t="n">
        <x:v>3</x:v>
      </x:c>
      <x:c r="B6" s="24" t="n">
        <x:v>7</x:v>
      </x:c>
      <x:c r="C6" s="24" t="n">
        <x:v>4</x:v>
      </x:c>
      <x:c r="D6" s="24" t="n">
        <x:v>7</x:v>
      </x:c>
      <x:c r="E6" s="24" t="n">
        <x:v>4</x:v>
      </x:c>
      <x:c r="F6" s="24" t="str">
        <x:v>Validated</x:v>
      </x:c>
    </x:row>
    <x:row r="7">
      <x:c r="A7" s="24" t="n">
        <x:v>4</x:v>
      </x:c>
      <x:c r="B7" s="24" t="n">
        <x:v>7</x:v>
      </x:c>
      <x:c r="C7" s="24" t="str">
        <x:v>null</x:v>
      </x:c>
      <x:c r="D7" s="24" t="n">
        <x:v>7</x:v>
      </x:c>
      <x:c r="E7" s="24" t="str">
        <x:v>null</x:v>
      </x:c>
      <x:c r="F7" s="24" t="str">
        <x:v>Validated</x:v>
      </x:c>
    </x:row>
    <x:row r="8">
      <x:c r="A8" s="24" t="str">
        <x:v>Total</x:v>
      </x:c>
      <x:c r="B8" s="24" t="n">
        <x:v>28</x:v>
      </x:c>
      <x:c r="C8" s="24" t="str">
        <x:v>terminal after page 4</x:v>
      </x:c>
      <x:c r="D8" s="24" t="n">
        <x:v>28</x:v>
      </x:c>
      <x:c r="E8" s="24" t="str">
        <x:v>terminated after page 4</x:v>
      </x:c>
      <x:c r="F8" s="24" t="str">
        <x:v>Validated</x:v>
      </x:c>
    </x:row>
  </x:sheetData>
  <x:mergeCells>
    <x:mergeCell ref="A1:F1"/>
  </x:mergeCells>
  <x:conditionalFormatting sqref="F4:F8">
    <x:cfRule type="expression" dxfId="42" priority="1">
      <x:formula>F4="Validated"</x:formula>
    </x:cfRule>
    <x:cfRule type="expression" dxfId="43" priority="2">
      <x:formula>F4="Needs Review"</x:formula>
    </x:cfRule>
    <x:cfRule type="expression" dxfId="44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6" hidden="0" customWidth="1"/>
    <x:col min="4" max="4" width="58" hidden="0" customWidth="1"/>
    <x:col min="5" max="5" width="34" hidden="0" customWidth="1"/>
    <x:col min="6" max="6" width="18" hidden="0" customWidth="1"/>
  </x:cols>
  <x:sheetData>
    <x:row r="1" ht="26" customHeight="1">
      <x:c r="A1" s="6" t="str">
        <x:v>Parameters, Functions and Reuse Inventory</x:v>
      </x:c>
      <x:c r="B1" s="6"/>
      <x:c r="C1" s="6"/>
      <x:c r="D1" s="6"/>
      <x:c r="E1" s="6"/>
      <x:c r="F1" s="6"/>
    </x:row>
    <x:row r="3" ht="30" customHeight="1">
      <x:c r="A3" s="16" t="str">
        <x:v>Name</x:v>
      </x:c>
      <x:c r="B3" s="16" t="str">
        <x:v>Kind</x:v>
      </x:c>
      <x:c r="C3" s="16" t="str">
        <x:v>Type/Signature</x:v>
      </x:c>
      <x:c r="D3" s="16" t="str">
        <x:v>Role/CurrentValue</x:v>
      </x:c>
      <x:c r="E3" s="16" t="str">
        <x:v>LearnerConfigured/Result</x:v>
      </x:c>
      <x:c r="F3" s="16" t="str">
        <x:v>Status</x:v>
      </x:c>
    </x:row>
    <x:row r="4">
      <x:c r="A4" s="24" t="str">
        <x:v>pDataRoot</x:v>
      </x:c>
      <x:c r="B4" s="24" t="str">
        <x:v>Parameter</x:v>
      </x:c>
      <x:c r="C4" s="24" t="str">
        <x:v>text</x:v>
      </x:c>
      <x:c r="D4" s="24" t="str">
        <x:v>Path to working Source_Files</x:v>
      </x:c>
      <x:c r="E4" s="24" t="str">
        <x:v>Bound to learner working-copy root.</x:v>
      </x:c>
      <x:c r="F4" s="24" t="str">
        <x:v>Validated</x:v>
      </x:c>
    </x:row>
    <x:row r="5">
      <x:c r="A5" s="24" t="str">
        <x:v>pMonthlyExtractFolder</x:v>
      </x:c>
      <x:c r="B5" s="24" t="str">
        <x:v>Parameter</x:v>
      </x:c>
      <x:c r="C5" s="24" t="str">
        <x:v>text</x:v>
      </x:c>
      <x:c r="D5" s="24" t="str">
        <x:v>Path to Monthly_Plant_Extracts</x:v>
      </x:c>
      <x:c r="E5" s="24" t="str">
        <x:v>Derived/bound to healthy Monthly_Plant_Extracts folder.</x:v>
      </x:c>
      <x:c r="F5" s="24" t="str">
        <x:v>Validated</x:v>
      </x:c>
    </x:row>
    <x:row r="6">
      <x:c r="A6" s="24" t="str">
        <x:v>pSQLServer</x:v>
      </x:c>
      <x:c r="B6" s="24" t="str">
        <x:v>Parameter</x:v>
      </x:c>
      <x:c r="C6" s="24" t="str">
        <x:v>text</x:v>
      </x:c>
      <x:c r="D6" s="24" t="str">
        <x:v>localhost</x:v>
      </x:c>
      <x:c r="E6" s="24" t="str">
        <x:v>localhost</x:v>
      </x:c>
      <x:c r="F6" s="24" t="str">
        <x:v>Validated</x:v>
      </x:c>
    </x:row>
    <x:row r="7">
      <x:c r="A7" s="24" t="str">
        <x:v>pSQLDatabase</x:v>
      </x:c>
      <x:c r="B7" s="24" t="str">
        <x:v>Parameter</x:v>
      </x:c>
      <x:c r="C7" s="24" t="str">
        <x:v>text</x:v>
      </x:c>
      <x:c r="D7" s="24" t="str">
        <x:v>SunnyVerseRenewableGroup</x:v>
      </x:c>
      <x:c r="E7" s="24" t="str">
        <x:v>SunnyVerseRenewableGroup</x:v>
      </x:c>
      <x:c r="F7" s="24" t="str">
        <x:v>Validated</x:v>
      </x:c>
    </x:row>
    <x:row r="8">
      <x:c r="A8" s="24" t="str">
        <x:v>pApiBaseUrl</x:v>
      </x:c>
      <x:c r="B8" s="24" t="str">
        <x:v>Parameter</x:v>
      </x:c>
      <x:c r="C8" s="24" t="str">
        <x:v>text</x:v>
      </x:c>
      <x:c r="D8" s="24" t="str">
        <x:v>Published endpoint if available; blank/local fallback otherwise</x:v>
      </x:c>
      <x:c r="E8" s="24" t="str">
        <x:v>Published no-account URL when present; local deterministic fallback remains valid.</x:v>
      </x:c>
      <x:c r="F8" s="24" t="str">
        <x:v>Validated</x:v>
      </x:c>
    </x:row>
    <x:row r="9">
      <x:c r="A9" s="24" t="str">
        <x:v>pCulture</x:v>
      </x:c>
      <x:c r="B9" s="24" t="str">
        <x:v>Parameter</x:v>
      </x:c>
      <x:c r="C9" s="24" t="str">
        <x:v>text</x:v>
      </x:c>
      <x:c r="D9" s="24" t="str">
        <x:v>en-US</x:v>
      </x:c>
      <x:c r="E9" s="24" t="str">
        <x:v>en-US</x:v>
      </x:c>
      <x:c r="F9" s="24" t="str">
        <x:v>Validated</x:v>
      </x:c>
    </x:row>
    <x:row r="10">
      <x:c r="A10" s="24" t="str">
        <x:v>RangeStart</x:v>
      </x:c>
      <x:c r="B10" s="24" t="str">
        <x:v>Parameter</x:v>
      </x:c>
      <x:c r="C10" s="24" t="str">
        <x:v>date/time</x:v>
      </x:c>
      <x:c r="D10" s="24" t="str">
        <x:v>2026-07-01 00:00:00</x:v>
      </x:c>
      <x:c r="E10" s="24" t="str">
        <x:v>2026-07-01 00:00:00</x:v>
      </x:c>
      <x:c r="F10" s="24" t="str">
        <x:v>Validated</x:v>
      </x:c>
    </x:row>
    <x:row r="11">
      <x:c r="A11" s="24" t="str">
        <x:v>RangeEnd</x:v>
      </x:c>
      <x:c r="B11" s="24" t="str">
        <x:v>Parameter</x:v>
      </x:c>
      <x:c r="C11" s="24" t="str">
        <x:v>date/time</x:v>
      </x:c>
      <x:c r="D11" s="24" t="str">
        <x:v>2026-10-01 00:00:00</x:v>
      </x:c>
      <x:c r="E11" s="24" t="str">
        <x:v>2026-10-01 00:00:00</x:v>
      </x:c>
      <x:c r="F11" s="24" t="str">
        <x:v>Validated</x:v>
      </x:c>
    </x:row>
    <x:row r="12">
      <x:c r="A12" s="24" t="str">
        <x:v>fnTransformPlantExtract</x:v>
      </x:c>
      <x:c r="B12" s="24" t="str">
        <x:v>Function</x:v>
      </x:c>
      <x:c r="C12" s="24" t="str">
        <x:v>binary → table</x:v>
      </x:c>
      <x:c r="D12" s="24" t="str">
        <x:v>One monthly CSV → typed standard table</x:v>
      </x:c>
      <x:c r="E12" s="24" t="str">
        <x:v>Invoked successfully across the healthy monthly CSVs.</x:v>
      </x:c>
      <x:c r="F12" s="24" t="str">
        <x:v>Validated</x:v>
      </x:c>
    </x:row>
    <x:row r="13">
      <x:c r="A13" s="24" t="str">
        <x:v>fnNormalizeSupplierName</x:v>
      </x:c>
      <x:c r="B13" s="24" t="str">
        <x:v>Function</x:v>
      </x:c>
      <x:c r="C13" s="24" t="str">
        <x:v>nullable text → nullable text</x:v>
      </x:c>
      <x:c r="D13" s="24" t="str">
        <x:v>Reusable text normalization</x:v>
      </x:c>
      <x:c r="E13" s="24" t="str">
        <x:v>Used before transformation-table and fuzzy matching logic.</x:v>
      </x:c>
      <x:c r="F13" s="24" t="str">
        <x:v>Validated</x:v>
      </x:c>
    </x:row>
    <x:row r="14">
      <x:c r="A14" s="24" t="str">
        <x:v>fnGetApiPage</x:v>
      </x:c>
      <x:c r="B14" s="24" t="str">
        <x:v>Function</x:v>
      </x:c>
      <x:c r="C14" s="24" t="str">
        <x:v>number → record</x:v>
      </x:c>
      <x:c r="D14" s="24" t="str">
        <x:v>One deterministic page</x:v>
      </x:c>
      <x:c r="E14" s="24" t="str">
        <x:v>Returns one page record with data and nextPage metadata.</x:v>
      </x:c>
      <x:c r="F14" s="24" t="str">
        <x:v>Validated</x:v>
      </x:c>
    </x:row>
    <x:row r="15">
      <x:c r="A15" s="24" t="str">
        <x:v>fnParseJsonPayload</x:v>
      </x:c>
      <x:c r="B15" s="24" t="str">
        <x:v>Function</x:v>
      </x:c>
      <x:c r="C15" s="24" t="str">
        <x:v>text → any/record</x:v>
      </x:c>
      <x:c r="D15" s="24" t="str">
        <x:v>try-aware JSON parser</x:v>
      </x:c>
      <x:c r="E15" s="24" t="str">
        <x:v>Returns parsed JSON value or an inspectable try/error result.</x:v>
      </x:c>
      <x:c r="F15" s="24" t="str">
        <x:v>Validated</x:v>
      </x:c>
    </x:row>
    <x:row r="16">
      <x:c r="A16" s="24" t="str">
        <x:v>fnParseXmlPayload</x:v>
      </x:c>
      <x:c r="B16" s="24" t="str">
        <x:v>Function</x:v>
      </x:c>
      <x:c r="C16" s="24" t="str">
        <x:v>text → any/table</x:v>
      </x:c>
      <x:c r="D16" s="24" t="str">
        <x:v>try-aware XML parser</x:v>
      </x:c>
      <x:c r="E16" s="24" t="str">
        <x:v>Returns parsed XML value/table or an inspectable try/error result.</x:v>
      </x:c>
      <x:c r="F16" s="24" t="str">
        <x:v>Validated</x:v>
      </x:c>
    </x:row>
  </x:sheetData>
  <x:mergeCells>
    <x:mergeCell ref="A1:F1"/>
  </x:mergeCells>
  <x:conditionalFormatting sqref="F4:F16">
    <x:cfRule type="expression" dxfId="45" priority="1">
      <x:formula>F4="Validated"</x:formula>
    </x:cfRule>
    <x:cfRule type="expression" dxfId="46" priority="2">
      <x:formula>F4="Needs Review"</x:formula>
    </x:cfRule>
    <x:cfRule type="expression" dxfId="47" priority="3">
      <x:formula>F4="In Progress"</x:formula>
    </x:cfRule>
  </x:conditionalFormatting>
  <x:dataValidations count="1">
    <x:dataValidation type="list" sqref="F4:F16">
      <x:formula1>"Not Started,In Progress,Validated,Needs Review"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84" hidden="0" customWidth="1"/>
    <x:col min="4" max="4" width="18" hidden="0" customWidth="1"/>
  </x:cols>
  <x:sheetData>
    <x:row r="1" ht="26" customHeight="1">
      <x:c r="A1" s="6" t="str">
        <x:v>M Language Concepts and Learner Explanations</x:v>
      </x:c>
      <x:c r="B1" s="6"/>
      <x:c r="C1" s="6"/>
      <x:c r="D1" s="6"/>
    </x:row>
    <x:row r="3" ht="30" customHeight="1">
      <x:c r="A3" s="16" t="str">
        <x:v>Concept</x:v>
      </x:c>
      <x:c r="B3" s="16" t="str">
        <x:v>Example</x:v>
      </x:c>
      <x:c r="C3" s="16" t="str">
        <x:v>LearnerExplanation/Observation</x:v>
      </x:c>
      <x:c r="D3" s="16" t="str">
        <x:v>Status</x:v>
      </x:c>
    </x:row>
    <x:row r="4">
      <x:c r="A4" s="24" t="str">
        <x:v>Value</x:v>
      </x:c>
      <x:c r="B4" s="24" t="str">
        <x:v>PlantID = "SVR-001"</x:v>
      </x:c>
      <x:c r="C4" s="24" t="str">
        <x:v>A scalar value can be bound to a name in let.</x:v>
      </x:c>
      <x:c r="D4" s="24" t="str">
        <x:v>Validated</x:v>
      </x:c>
    </x:row>
    <x:row r="5">
      <x:c r="A5" s="24" t="str">
        <x:v>List</x:v>
      </x:c>
      <x:c r="B5" s="24" t="str">
        <x:v>{100.0, 105.0, 98.0}</x:v>
      </x:c>
      <x:c r="C5" s="24" t="str">
        <x:v>Ordered sequence; List.* functions operate on it.</x:v>
      </x:c>
      <x:c r="D5" s="24" t="str">
        <x:v>Validated</x:v>
      </x:c>
    </x:row>
    <x:row r="6">
      <x:c r="A6" s="24" t="str">
        <x:v>Record</x:v>
      </x:c>
      <x:c r="B6" s="24" t="str">
        <x:v>[PlantID="SVR-001", Unit="MWh"]</x:v>
      </x:c>
      <x:c r="C6" s="24" t="str">
        <x:v>Named fields; access with [Field].</x:v>
      </x:c>
      <x:c r="D6" s="24" t="str">
        <x:v>Validated</x:v>
      </x:c>
    </x:row>
    <x:row r="7">
      <x:c r="A7" s="24" t="str">
        <x:v>Table</x:v>
      </x:c>
      <x:c r="B7" s="24" t="str">
        <x:v>#table({"Metric","Value"}, {{"Count",3}})</x:v>
      </x:c>
      <x:c r="C7" s="24" t="str">
        <x:v>Structured rows and columns.</x:v>
      </x:c>
      <x:c r="D7" s="24" t="str">
        <x:v>Validated</x:v>
      </x:c>
    </x:row>
    <x:row r="8">
      <x:c r="A8" s="24" t="str">
        <x:v>Function</x:v>
      </x:c>
      <x:c r="B8" s="24" t="str">
        <x:v>(x as number) as number =&gt; x * 2</x:v>
      </x:c>
      <x:c r="C8" s="24" t="str">
        <x:v>Reusable transformation with parameters.</x:v>
      </x:c>
      <x:c r="D8" s="24" t="str">
        <x:v>Validated</x:v>
      </x:c>
    </x:row>
    <x:row r="9">
      <x:c r="A9" s="24" t="str">
        <x:v>each / _</x:v>
      </x:c>
      <x:c r="B9" s="24" t="str">
        <x:v>each Text.Trim(_)</x:v>
      </x:c>
      <x:c r="C9" s="24" t="str">
        <x:v>each is shorthand for a single-argument function; _ is the current value.</x:v>
      </x:c>
      <x:c r="D9" s="24" t="str">
        <x:v>Validated</x:v>
      </x:c>
    </x:row>
    <x:row r="10">
      <x:c r="A10" s="24" t="str">
        <x:v>let / in</x:v>
      </x:c>
      <x:c r="B10" s="24" t="str">
        <x:v>let A = 1, B = A + 1 in B</x:v>
      </x:c>
      <x:c r="C10" s="24" t="str">
        <x:v>Steps bind names; in returns the final expression.</x:v>
      </x:c>
      <x:c r="D10" s="24" t="str">
        <x:v>Validated</x:v>
      </x:c>
    </x:row>
    <x:row r="11">
      <x:c r="A11" s="24" t="str">
        <x:v>Step reference</x:v>
      </x:c>
      <x:c r="B11" s="24" t="str">
        <x:v>#"Changed Type"</x:v>
      </x:c>
      <x:c r="C11" s="24" t="str">
        <x:v>Quoted identifier references step names containing spaces.</x:v>
      </x:c>
      <x:c r="D11" s="24" t="str">
        <x:v>Validated</x:v>
      </x:c>
    </x:row>
    <x:row r="12">
      <x:c r="A12" s="24" t="str">
        <x:v>try / otherwise</x:v>
      </x:c>
      <x:c r="B12" s="24" t="str">
        <x:v>try Number.FromText("five") otherwise null</x:v>
      </x:c>
      <x:c r="C12" s="24" t="str">
        <x:v>Error handling must preserve audit evidence when meaning matters.</x:v>
      </x:c>
      <x:c r="D12" s="24" t="str">
        <x:v>Validated</x:v>
      </x:c>
    </x:row>
    <x:row r="13">
      <x:c r="A13" s="24" t="str">
        <x:v>Error record</x:v>
      </x:c>
      <x:c r="B13" s="24" t="str">
        <x:v>(try Number.FromText("five"))[Error]</x:v>
      </x:c>
      <x:c r="C13" s="24" t="str">
        <x:v>Inspect Reason/Message/Detail where present.</x:v>
      </x:c>
      <x:c r="D13" s="24" t="str">
        <x:v>Validated</x:v>
      </x:c>
    </x:row>
    <x:row r="14">
      <x:c r="A14" s="24" t="str">
        <x:v>Comments</x:v>
      </x:c>
      <x:c r="B14" s="24" t="str">
        <x:v>// line comment  /  /* block comment */</x:v>
      </x:c>
      <x:c r="C14" s="24" t="str">
        <x:v>Document non-obvious business or resilience logic.</x:v>
      </x:c>
      <x:c r="D14" s="24" t="str">
        <x:v>Validated</x:v>
      </x:c>
    </x:row>
    <x:row r="15">
      <x:c r="A15" s="24" t="str">
        <x:v>Core families</x:v>
      </x:c>
      <x:c r="B15" s="24" t="str">
        <x:v>Text., Number., Date., List., Record., Table.</x:v>
      </x:c>
      <x:c r="C15" s="24" t="str">
        <x:v>Use library families instead of ad hoc string manipulation.</x:v>
      </x:c>
      <x:c r="D15" s="24" t="str">
        <x:v>Validated</x:v>
      </x:c>
    </x:row>
  </x:sheetData>
  <x:mergeCells>
    <x:mergeCell ref="A1:D1"/>
  </x:mergeCells>
  <x:conditionalFormatting sqref="D4:D15">
    <x:cfRule type="expression" dxfId="48" priority="1">
      <x:formula>D4="Validated"</x:formula>
    </x:cfRule>
    <x:cfRule type="expression" dxfId="49" priority="2">
      <x:formula>D4="Needs Review"</x:formula>
    </x:cfRule>
    <x:cfRule type="expression" dxfId="50" priority="3">
      <x:formula>D4="In Progress"</x:formula>
    </x:cfRule>
  </x:conditionalFormatting>
  <x:dataValidations count="1">
    <x:dataValidation type="list" sqref="D4:D15">
      <x:formula1>"Not Started,In Progress,Validated,Needs Review"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8" hidden="0" customWidth="1"/>
    <x:col min="4" max="4" width="22" hidden="0" customWidth="1"/>
    <x:col min="5" max="5" width="24" hidden="0" customWidth="1"/>
    <x:col min="6" max="6" width="30" hidden="0" customWidth="1"/>
    <x:col min="7" max="7" width="40" hidden="0" customWidth="1"/>
    <x:col min="8" max="8" width="24" hidden="0" customWidth="1"/>
    <x:col min="9" max="9" width="18" hidden="0" customWidth="1"/>
  </x:cols>
  <x:sheetData>
    <x:row r="1" ht="26" customHeight="1">
      <x:c r="A1" s="6" t="str">
        <x:v>Folding, Native Query and Buffering Comparison</x:v>
      </x:c>
      <x:c r="B1" s="6"/>
      <x:c r="C1" s="6"/>
      <x:c r="D1" s="6"/>
      <x:c r="E1" s="6"/>
      <x:c r="F1" s="6"/>
      <x:c r="G1" s="6"/>
      <x:c r="H1" s="6"/>
      <x:c r="I1" s="6"/>
    </x:row>
    <x:row r="3" ht="30" customHeight="1">
      <x:c r="A3" s="16" t="str">
        <x:v>Branch</x:v>
      </x:c>
      <x:c r="B3" s="16" t="str">
        <x:v>Intent</x:v>
      </x:c>
      <x:c r="C3" s="16" t="str">
        <x:v>ExpectedRows</x:v>
      </x:c>
      <x:c r="D3" s="16" t="str">
        <x:v>ExpectedActualMWh</x:v>
      </x:c>
      <x:c r="E3" s="16" t="str">
        <x:v>ExpectedForecastMWh</x:v>
      </x:c>
      <x:c r="F3" s="16" t="str">
        <x:v>FoldingEvidence</x:v>
      </x:c>
      <x:c r="G3" s="16" t="str">
        <x:v>LearnerDuration/Observation</x:v>
      </x:c>
      <x:c r="H3" s="16" t="str">
        <x:v>BusinessResultMatch</x:v>
      </x:c>
      <x:c r="I3" s="16" t="str">
        <x:v>Status</x:v>
      </x:c>
    </x:row>
    <x:row r="4">
      <x:c r="A4" s="24" t="str">
        <x:v>Perf_SQL_Folded</x:v>
      </x:c>
      <x:c r="B4" s="24" t="str">
        <x:v>Filter/select while folding</x:v>
      </x:c>
      <x:c r="C4" s="24" t="str">
        <x:v>97152</x:v>
      </x:c>
      <x:c r="D4" s="24" t="str">
        <x:v>2084353.3725</x:v>
      </x:c>
      <x:c r="E4" s="24" t="str">
        <x:v>2084352.9967</x:v>
      </x:c>
      <x:c r="F4" s="24" t="str">
        <x:v>Yes/when available</x:v>
      </x:c>
      <x:c r="G4" s="24" t="str">
        <x:v>Native-query/folding evidence available before the intentional boundary.</x:v>
      </x:c>
      <x:c r="H4" s="24" t="str">
        <x:v>Business result reconciles exactly; timing is machine-dependent and is not treated as a universal benchmark.</x:v>
      </x:c>
      <x:c r="I4" s="24" t="str">
        <x:v>Validated</x:v>
      </x:c>
    </x:row>
    <x:row r="5">
      <x:c r="A5" s="24" t="str">
        <x:v>Perf_SQL_Unfolded</x:v>
      </x:c>
      <x:c r="B5" s="24" t="str">
        <x:v>Intentional folding boundary before equivalent filter</x:v>
      </x:c>
      <x:c r="C5" s="24" t="str">
        <x:v>97152</x:v>
      </x:c>
      <x:c r="D5" s="24" t="str">
        <x:v>2084353.3725</x:v>
      </x:c>
      <x:c r="E5" s="24" t="str">
        <x:v>2084352.9967</x:v>
      </x:c>
      <x:c r="F5" s="24" t="str">
        <x:v>No after boundary</x:v>
      </x:c>
      <x:c r="G5" s="24" t="str">
        <x:v>Folding unavailable after the chosen boundary; upstream behavior is interpreted separately.</x:v>
      </x:c>
      <x:c r="H5" s="24" t="str">
        <x:v>Equivalent business result proves correctness while demonstrating different execution placement.</x:v>
      </x:c>
      <x:c r="I5" s="24" t="str">
        <x:v>Validated</x:v>
      </x:c>
    </x:row>
    <x:row r="6">
      <x:c r="A6" s="24" t="str">
        <x:v>Perf_SQL_Native</x:v>
      </x:c>
      <x:c r="B6" s="24" t="str">
        <x:v>Value.NativeQuery + EnableFolding=true; downstream filter</x:v>
      </x:c>
      <x:c r="C6" s="24" t="str">
        <x:v>97152</x:v>
      </x:c>
      <x:c r="D6" s="24" t="str">
        <x:v>2084353.3725</x:v>
      </x:c>
      <x:c r="E6" s="24" t="str">
        <x:v>2084352.9967</x:v>
      </x:c>
      <x:c r="F6" s="24" t="str">
        <x:v>Expected when supported</x:v>
      </x:c>
      <x:c r="G6" s="24" t="str">
        <x:v>Value.NativeQuery branch uses reviewed SQL and EnableFolding=true where supported.</x:v>
      </x:c>
      <x:c r="H6" s="24" t="str">
        <x:v>Equivalent business result reconciles to the same Q3 source truth.</x:v>
      </x:c>
      <x:c r="I6" s="24" t="str">
        <x:v>Validated</x:v>
      </x:c>
    </x:row>
    <x:row r="7">
      <x:c r="A7" s="24" t="str">
        <x:v>Perf_SQL_Buffered</x:v>
      </x:c>
      <x:c r="B7" s="24" t="str">
        <x:v>Buffering experiment; correctness must remain same</x:v>
      </x:c>
      <x:c r="C7" s="24" t="str">
        <x:v>97152</x:v>
      </x:c>
      <x:c r="D7" s="24" t="str">
        <x:v>2084353.3725</x:v>
      </x:c>
      <x:c r="E7" s="24" t="str">
        <x:v>2084352.9967</x:v>
      </x:c>
      <x:c r="F7" s="24" t="str">
        <x:v>Boundary/local evaluation</x:v>
      </x:c>
      <x:c r="G7" s="24" t="str">
        <x:v>Buffering establishes a local evaluation boundary and may increase or decrease elapsed work depending on the plan.</x:v>
      </x:c>
      <x:c r="H7" s="24" t="str">
        <x:v>Equivalent business result; no claim that buffering is inherently faster.</x:v>
      </x:c>
      <x:c r="I7" s="24" t="str">
        <x:v>Validated</x:v>
      </x:c>
    </x:row>
  </x:sheetData>
  <x:mergeCells>
    <x:mergeCell ref="A1:I1"/>
  </x:mergeCells>
  <x:conditionalFormatting sqref="I4:I7">
    <x:cfRule type="expression" dxfId="51" priority="1">
      <x:formula>I4="Validated"</x:formula>
    </x:cfRule>
    <x:cfRule type="expression" dxfId="52" priority="2">
      <x:formula>I4="Needs Review"</x:formula>
    </x:cfRule>
    <x:cfRule type="expression" dxfId="53" priority="3">
      <x:formula>I4="In Progress"</x:formula>
    </x:cfRule>
  </x:conditionalFormatting>
  <x:dataValidations count="1">
    <x:dataValidation type="list" sqref="I4:I7">
      <x:formula1>"Not Started,In Progress,Validated,Needs Review"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8" hidden="0" customWidth="1"/>
    <x:col min="4" max="4" width="24" hidden="0" customWidth="1"/>
    <x:col min="5" max="5" width="42" hidden="0" customWidth="1"/>
    <x:col min="6" max="6" width="50" hidden="0" customWidth="1"/>
    <x:col min="7" max="7" width="18" hidden="0" customWidth="1"/>
  </x:cols>
  <x:sheetData>
    <x:row r="1" ht="26" customHeight="1">
      <x:c r="A1" s="6" t="str">
        <x:v>Query Diagnostics Evidence</x:v>
      </x:c>
      <x:c r="B1" s="6"/>
      <x:c r="C1" s="6"/>
      <x:c r="D1" s="6"/>
      <x:c r="E1" s="6"/>
      <x:c r="F1" s="6"/>
      <x:c r="G1" s="6"/>
    </x:row>
    <x:row r="3" ht="30" customHeight="1">
      <x:c r="A3" s="16" t="str">
        <x:v>Action/Query</x:v>
      </x:c>
      <x:c r="B3" s="16" t="str">
        <x:v>ObservedStep/Activity</x:v>
      </x:c>
      <x:c r="C3" s="16" t="str">
        <x:v>DataSourceQuery/Resource</x:v>
      </x:c>
      <x:c r="D3" s="16" t="str">
        <x:v>Duration/Timing</x:v>
      </x:c>
      <x:c r="E3" s="16" t="str">
        <x:v>Partition/FoldingNote</x:v>
      </x:c>
      <x:c r="F3" s="16" t="str">
        <x:v>Interpretation</x:v>
      </x:c>
      <x:c r="G3" s="16" t="str">
        <x:v>Status</x:v>
      </x:c>
    </x:row>
    <x:row r="4">
      <x:c r="A4" s="24" t="str">
        <x:v>Start Diagnostics</x:v>
      </x:c>
      <x:c r="B4" s="24" t="str">
        <x:v>Trace session started before the selected operation.</x:v>
      </x:c>
      <x:c r="C4" s="24" t="str">
        <x:v>Diagnostic output tables created for the reference execution.</x:v>
      </x:c>
      <x:c r="D4" s="24" t="str">
        <x:v>Machine-dependent; no universal duration frozen.</x:v>
      </x:c>
      <x:c r="E4" s="24" t="str">
        <x:v>Used only as evidence of execution activity.</x:v>
      </x:c>
      <x:c r="F4" s="24" t="str">
        <x:v>Start Diagnostics establishes the capture window.</x:v>
      </x:c>
      <x:c r="G4" s="24" t="str">
        <x:v>Validated</x:v>
      </x:c>
    </x:row>
    <x:row r="5">
      <x:c r="A5" s="24" t="str">
        <x:v>Diagnose Step — folded filter</x:v>
      </x:c>
      <x:c r="B5" s="24" t="str">
        <x:v>Folded filter step diagnosed.</x:v>
      </x:c>
      <x:c r="C5" s="24" t="str">
        <x:v>Source query/activity evidence showed source-side execution where connector support allowed.</x:v>
      </x:c>
      <x:c r="D5" s="24" t="str">
        <x:v>Machine-dependent.</x:v>
      </x:c>
      <x:c r="E5" s="24" t="str">
        <x:v>Consistent with folding evidence.</x:v>
      </x:c>
      <x:c r="F5" s="24" t="str">
        <x:v>Diagnose Step isolates one selected step for focused evidence.</x:v>
      </x:c>
      <x:c r="G5" s="24" t="str">
        <x:v>Validated</x:v>
      </x:c>
    </x:row>
    <x:row r="6">
      <x:c r="A6" s="24" t="str">
        <x:v>Diagnose Step — nonfolding/buffered branch</x:v>
      </x:c>
      <x:c r="B6" s="24" t="str">
        <x:v>Nonfolding/buffered branch diagnosed.</x:v>
      </x:c>
      <x:c r="C6" s="24" t="str">
        <x:v>More local-evaluation evidence appeared after the intentional boundary.</x:v>
      </x:c>
      <x:c r="D6" s="24" t="str">
        <x:v>Machine-dependent.</x:v>
      </x:c>
      <x:c r="E6" s="24" t="str">
        <x:v>Performance interpretation separated correctness from elapsed time.</x:v>
      </x:c>
      <x:c r="F6" s="24" t="str">
        <x:v>A slower/faster run alone is not proof of a better architecture.</x:v>
      </x:c>
      <x:c r="G6" s="24" t="str">
        <x:v>Validated</x:v>
      </x:c>
    </x:row>
    <x:row r="7">
      <x:c r="A7" s="24" t="str">
        <x:v>Stop Diagnostics</x:v>
      </x:c>
      <x:c r="B7" s="24" t="str">
        <x:v>Trace session stopped and diagnostic queries retained only as needed.</x:v>
      </x:c>
      <x:c r="C7" s="24" t="str">
        <x:v>Capture window closed.</x:v>
      </x:c>
      <x:c r="D7" s="24" t="str">
        <x:v>N/A</x:v>
      </x:c>
      <x:c r="E7" s="24" t="str">
        <x:v>Diagnostic outputs interpreted and then managed deliberately.</x:v>
      </x:c>
      <x:c r="F7" s="24" t="str">
        <x:v>Diagnostics are evidence, not a permanent business table.</x:v>
      </x:c>
      <x:c r="G7" s="24" t="str">
        <x:v>Validated</x:v>
      </x:c>
    </x:row>
  </x:sheetData>
  <x:mergeCells>
    <x:mergeCell ref="A1:G1"/>
  </x:mergeCells>
  <x:conditionalFormatting sqref="G4:G7">
    <x:cfRule type="expression" dxfId="54" priority="1">
      <x:formula>G4="Validated"</x:formula>
    </x:cfRule>
    <x:cfRule type="expression" dxfId="55" priority="2">
      <x:formula>G4="Needs Review"</x:formula>
    </x:cfRule>
    <x:cfRule type="expression" dxfId="56" priority="3">
      <x:formula>G4="In Progress"</x:formula>
    </x:cfRule>
  </x:conditionalFormatting>
  <x:dataValidations count="1">
    <x:dataValidation type="list" sqref="G4:G7">
      <x:formula1>"Not Started,In Progress,Validated,Needs Review"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54" hidden="0" customWidth="1"/>
    <x:col min="4" max="4" width="18" hidden="0" customWidth="1"/>
  </x:cols>
  <x:sheetData>
    <x:row r="1" ht="26" customHeight="1">
      <x:c r="A1" s="6" t="str">
        <x:v>Incremental-Refresh Preparation Evidence</x:v>
      </x:c>
      <x:c r="B1" s="6"/>
      <x:c r="C1" s="6"/>
      <x:c r="D1" s="6"/>
    </x:row>
    <x:row r="3" ht="30" customHeight="1">
      <x:c r="A3" s="16" t="str">
        <x:v>Item</x:v>
      </x:c>
      <x:c r="B3" s="16" t="str">
        <x:v>Expected</x:v>
      </x:c>
      <x:c r="C3" s="16" t="str">
        <x:v>LearnerResult/Evidence</x:v>
      </x:c>
      <x:c r="D3" s="16" t="str">
        <x:v>Status</x:v>
      </x:c>
    </x:row>
    <x:row r="4">
      <x:c r="A4" s="24" t="str">
        <x:v>RangeStart</x:v>
      </x:c>
      <x:c r="B4" s="24" t="str">
        <x:v>2026-07-01 00:00:00</x:v>
      </x:c>
      <x:c r="C4" s="24" t="str">
        <x:v>Date/Time parameter created exactly as named.</x:v>
      </x:c>
      <x:c r="D4" s="24" t="str">
        <x:v>Validated</x:v>
      </x:c>
    </x:row>
    <x:row r="5">
      <x:c r="A5" s="24" t="str">
        <x:v>RangeEnd</x:v>
      </x:c>
      <x:c r="B5" s="24" t="str">
        <x:v>2026-10-01 00:00:00</x:v>
      </x:c>
      <x:c r="C5" s="24" t="str">
        <x:v>Date/Time parameter created exactly as named.</x:v>
      </x:c>
      <x:c r="D5" s="24" t="str">
        <x:v>Validated</x:v>
      </x:c>
    </x:row>
    <x:row r="6">
      <x:c r="A6" s="24" t="str">
        <x:v>Lower-bound filter</x:v>
      </x:c>
      <x:c r="B6" s="24" t="str">
        <x:v>IntervalStartUTC &gt;= RangeStart</x:v>
      </x:c>
      <x:c r="C6" s="24" t="str">
        <x:v>Lower boundary applied inclusively.</x:v>
      </x:c>
      <x:c r="D6" s="24" t="str">
        <x:v>Validated</x:v>
      </x:c>
    </x:row>
    <x:row r="7">
      <x:c r="A7" s="24" t="str">
        <x:v>Upper-bound filter</x:v>
      </x:c>
      <x:c r="B7" s="24" t="str">
        <x:v>IntervalStartUTC &lt; RangeEnd</x:v>
      </x:c>
      <x:c r="C7" s="24" t="str">
        <x:v>Upper boundary applied exclusively.</x:v>
      </x:c>
      <x:c r="D7" s="24" t="str">
        <x:v>Validated</x:v>
      </x:c>
    </x:row>
    <x:row r="8">
      <x:c r="A8" s="24" t="str">
        <x:v>Expected rows</x:v>
      </x:c>
      <x:c r="B8" s="24" t="str">
        <x:v>97152</x:v>
      </x:c>
      <x:c r="C8" s="24" t="str">
        <x:v>97152</x:v>
      </x:c>
      <x:c r="D8" s="24" t="str">
        <x:v>Validated</x:v>
      </x:c>
    </x:row>
    <x:row r="9">
      <x:c r="A9" s="24" t="str">
        <x:v>Expected ActualGenerationMWh</x:v>
      </x:c>
      <x:c r="B9" s="24" t="str">
        <x:v>2084353.3725</x:v>
      </x:c>
      <x:c r="C9" s="24" t="str">
        <x:v>2084353.3725</x:v>
      </x:c>
      <x:c r="D9" s="24" t="str">
        <x:v>Validated</x:v>
      </x:c>
    </x:row>
    <x:row r="10">
      <x:c r="A10" s="24" t="str">
        <x:v>Expected ForecastGenerationMWh</x:v>
      </x:c>
      <x:c r="B10" s="24" t="str">
        <x:v>2084352.9967</x:v>
      </x:c>
      <x:c r="C10" s="24" t="str">
        <x:v>2084352.9967</x:v>
      </x:c>
      <x:c r="D10" s="24" t="str">
        <x:v>Validated</x:v>
      </x:c>
    </x:row>
    <x:row r="11">
      <x:c r="A11" s="24" t="str">
        <x:v>Expected VarianceMWh</x:v>
      </x:c>
      <x:c r="B11" s="24" t="str">
        <x:v>0.3758</x:v>
      </x:c>
      <x:c r="C11" s="24" t="str">
        <x:v>0.3758</x:v>
      </x:c>
      <x:c r="D11" s="24" t="str">
        <x:v>Validated</x:v>
      </x:c>
    </x:row>
    <x:row r="12">
      <x:c r="A12" s="24" t="str">
        <x:v>Folding proof</x:v>
      </x:c>
      <x:c r="B12" s="24" t="str">
        <x:v>View Native Query/data source query or equivalent connector evidence</x:v>
      </x:c>
      <x:c r="C12" s="24" t="str">
        <x:v>Connector folding/native-query evidence confirmed the source can receive the bounded predicate on the reference path.</x:v>
      </x:c>
      <x:c r="D12" s="24" t="str">
        <x:v>Validated</x:v>
      </x:c>
    </x:row>
    <x:row r="13">
      <x:c r="A13" s="24" t="str">
        <x:v>Service policy</x:v>
      </x:c>
      <x:c r="B13" s="24" t="str">
        <x:v>Do not configure in Module 3</x:v>
      </x:c>
      <x:c r="C13" s="24" t="str">
        <x:v>No incremental-refresh policy configured; Service policy remains Module 8.</x:v>
      </x:c>
      <x:c r="D13" s="24" t="str">
        <x:v>Validated</x:v>
      </x:c>
    </x:row>
  </x:sheetData>
  <x:mergeCells>
    <x:mergeCell ref="A1:D1"/>
  </x:mergeCells>
  <x:conditionalFormatting sqref="D4:D13">
    <x:cfRule type="expression" dxfId="57" priority="1">
      <x:formula>D4="Validated"</x:formula>
    </x:cfRule>
    <x:cfRule type="expression" dxfId="58" priority="2">
      <x:formula>D4="Needs Review"</x:formula>
    </x:cfRule>
    <x:cfRule type="expression" dxfId="59" priority="3">
      <x:formula>D4="In Progress"</x:formula>
    </x:cfRule>
  </x:conditionalFormatting>
  <x:dataValidations count="1">
    <x:dataValidation type="list" sqref="D4:D13">
      <x:formula1>"Not Started,In Progress,Validated,Needs Review"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52" hidden="0" customWidth="1"/>
    <x:col min="4" max="4" width="62" hidden="0" customWidth="1"/>
    <x:col min="5" max="5" width="58" hidden="0" customWidth="1"/>
    <x:col min="6" max="6" width="18" hidden="0" customWidth="1"/>
  </x:cols>
  <x:sheetData>
    <x:row r="1" ht="26" customHeight="1">
      <x:c r="A1" s="6" t="str">
        <x:v>Controlled Schema-Drift Failure and Recovery</x:v>
      </x:c>
      <x:c r="B1" s="6"/>
      <x:c r="C1" s="6"/>
      <x:c r="D1" s="6"/>
      <x:c r="E1" s="6"/>
      <x:c r="F1" s="6"/>
    </x:row>
    <x:row r="3" ht="30" customHeight="1">
      <x:c r="A3" s="16" t="str">
        <x:v>Variant</x:v>
      </x:c>
      <x:c r="B3" s="16" t="str">
        <x:v>FrozenChange</x:v>
      </x:c>
      <x:c r="C3" s="16" t="str">
        <x:v>ExpectedSymptom</x:v>
      </x:c>
      <x:c r="D3" s="16" t="str">
        <x:v>RequiredHealthyProof</x:v>
      </x:c>
      <x:c r="E3" s="16" t="str">
        <x:v>LearnerRootCause/Repair</x:v>
      </x:c>
      <x:c r="F3" s="16" t="str">
        <x:v>Status</x:v>
      </x:c>
    </x:row>
    <x:row r="4">
      <x:c r="A4" s="24" t="str">
        <x:v>Renamed_Column</x:v>
      </x:c>
      <x:c r="B4" s="24" t="str">
        <x:v>PlantID → PlantIdentifier in July</x:v>
      </x:c>
      <x:c r="C4" s="24" t="str">
        <x:v>Missing-column contract failure</x:v>
      </x:c>
      <x:c r="D4" s="24" t="str">
        <x:v>Explicitly map/rename the changed field and revalidate 341 July rows</x:v>
      </x:c>
      <x:c r="E4" s="24" t="str">
        <x:v>Root cause: hard-coded PlantID contract no longer matches. Repair: explicitly map PlantIdentifier back to PlantID, reapply the contract, and revalidate 341 July rows.</x:v>
      </x:c>
      <x:c r="F4" s="24" t="str">
        <x:v>Validated</x:v>
      </x:c>
    </x:row>
    <x:row r="5">
      <x:c r="A5" s="24" t="str">
        <x:v>Added_Column</x:v>
      </x:c>
      <x:c r="B5" s="24" t="str">
        <x:v>2026-10 target month appears</x:v>
      </x:c>
      <x:c r="C5" s="24" t="str">
        <x:v>Hard-coded selected-column unpivot misses new month</x:v>
      </x:c>
      <x:c r="D5" s="24" t="str">
        <x:v>Unpivot Other Columns captures October; 92 long rows</x:v>
      </x:c>
      <x:c r="E5" s="24" t="str">
        <x:v>Root cause: hard-coded selected-month unpivot is not schema-resilient. Repair: retain identifiers and Unpivot Other Columns; October expands the result to 92 rows.</x:v>
      </x:c>
      <x:c r="F5" s="24" t="str">
        <x:v>Validated</x:v>
      </x:c>
    </x:row>
    <x:row r="6">
      <x:c r="A6" s="24" t="str">
        <x:v>Reordered_Columns</x:v>
      </x:c>
      <x:c r="B6" s="24" t="str">
        <x:v>August fields physically reordered</x:v>
      </x:c>
      <x:c r="C6" s="24" t="str">
        <x:v>Order-dependent logic is fragile</x:v>
      </x:c>
      <x:c r="D6" s="24" t="str">
        <x:v>Name-based selection/type steps still return 341 rows</x:v>
      </x:c>
      <x:c r="E6" s="24" t="str">
        <x:v>Root cause: position-dependent logic. Repair: use name-based selection/types so reordered fields still return 341 August rows.</x:v>
      </x:c>
      <x:c r="F6" s="24" t="str">
        <x:v>Validated</x:v>
      </x:c>
    </x:row>
    <x:row r="7">
      <x:c r="A7" s="24" t="str">
        <x:v>Changed_Type</x:v>
      </x:c>
      <x:c r="B7" s="24" t="str">
        <x:v>One Sep ActualGenerationMWh = not_available</x:v>
      </x:c>
      <x:c r="C7" s="24" t="str">
        <x:v>Automatic Changed Type produces an error</x:v>
      </x:c>
      <x:c r="D7" s="24" t="str">
        <x:v>Audit the type failure; do not silently replace unknown generation with zero</x:v>
      </x:c>
      <x:c r="E7" s="24" t="str">
        <x:v>Root cause: one value violates the numeric contract. Repair: preserve the error in audit evidence; do not replace unknown generation with zero.</x:v>
      </x:c>
      <x:c r="F7" s="24" t="str">
        <x:v>Validated</x:v>
      </x:c>
    </x:row>
    <x:row r="8">
      <x:c r="A8" s="24" t="str">
        <x:v>New_Folder_Layout</x:v>
      </x:c>
      <x:c r="B8" s="24" t="str">
        <x:v>September moves to 2026/Q3 subfolder</x:v>
      </x:c>
      <x:c r="C8" s="24" t="str">
        <x:v>Nonrecursive folder path loses September</x:v>
      </x:c>
      <x:c r="D8" s="24" t="str">
        <x:v>Use intentional recursive enumeration; recover all 1,012 business rows</x:v>
      </x:c>
      <x:c r="E8" s="24" t="str">
        <x:v>Root cause: nonrecursive/top-level enumeration misses the moved September file. Repair: intentionally use recursive folder enumeration and recover all 1,012 business rows.</x:v>
      </x:c>
      <x:c r="F8" s="24" t="str">
        <x:v>Validated</x:v>
      </x:c>
    </x:row>
  </x:sheetData>
  <x:mergeCells>
    <x:mergeCell ref="A1:F1"/>
  </x:mergeCells>
  <x:conditionalFormatting sqref="F4:F8">
    <x:cfRule type="expression" dxfId="60" priority="1">
      <x:formula>F4="Validated"</x:formula>
    </x:cfRule>
    <x:cfRule type="expression" dxfId="61" priority="2">
      <x:formula>F4="Needs Review"</x:formula>
    </x:cfRule>
    <x:cfRule type="expression" dxfId="62" priority="3">
      <x:formula>F4="In Progress"</x:formula>
    </x:cfRule>
  </x:conditionalFormatting>
  <x:dataValidations count="1">
    <x:dataValidation type="list" sqref="F4:F8">
      <x:formula1>"Not Started,In Progress,Validated,Needs Review"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46" hidden="0" customWidth="1"/>
    <x:col min="5" max="5" width="48" hidden="0" customWidth="1"/>
    <x:col min="6" max="6" width="54" hidden="0" customWidth="1"/>
    <x:col min="7" max="7" width="42" hidden="0" customWidth="1"/>
    <x:col min="8" max="8" width="18" hidden="0" customWidth="1"/>
  </x:cols>
  <x:sheetData>
    <x:row r="1" ht="26" customHeight="1">
      <x:c r="A1" s="6" t="str">
        <x:v>Privacy Levels and Formula.Firewall Diagnosis</x:v>
      </x:c>
      <x:c r="B1" s="6"/>
      <x:c r="C1" s="6"/>
      <x:c r="D1" s="6"/>
      <x:c r="E1" s="6"/>
      <x:c r="F1" s="6"/>
      <x:c r="G1" s="6"/>
      <x:c r="H1" s="6"/>
    </x:row>
    <x:row r="3" ht="30" customHeight="1">
      <x:c r="A3" s="16" t="str">
        <x:v>Scenario</x:v>
      </x:c>
      <x:c r="B3" s="16" t="str">
        <x:v>SourceAPrivacy</x:v>
      </x:c>
      <x:c r="C3" s="16" t="str">
        <x:v>SourceBPrivacy</x:v>
      </x:c>
      <x:c r="D3" s="16" t="str">
        <x:v>ObservedSymptom</x:v>
      </x:c>
      <x:c r="E3" s="16" t="str">
        <x:v>Partition/Evidence</x:v>
      </x:c>
      <x:c r="F3" s="16" t="str">
        <x:v>Repair/Architecture</x:v>
      </x:c>
      <x:c r="G3" s="16" t="str">
        <x:v>Revalidation</x:v>
      </x:c>
      <x:c r="H3" s="16" t="str">
        <x:v>Status</x:v>
      </x:c>
    </x:row>
    <x:row r="4">
      <x:c r="A4" s="24" t="str">
        <x:v>SQL + local file combination</x:v>
      </x:c>
      <x:c r="B4" s="24" t="str">
        <x:v>Organizational / reference local SQL policy</x:v>
      </x:c>
      <x:c r="C4" s="24" t="str">
        <x:v>File privacy set deliberately for the working source</x:v>
      </x:c>
      <x:c r="D4" s="24" t="str">
        <x:v>A combined-source/query-partition warning can appear when one partition directly reaches another source in an unsafe pattern.</x:v>
      </x:c>
      <x:c r="E4" s="24" t="str">
        <x:v>Source boundaries and query references inspected; privacy was not disabled as a generic fix.</x:v>
      </x:c>
      <x:c r="F4" s="24" t="str">
        <x:v>Repair by restructuring staging/combination so source access is explicit and compatible, then reapply appropriate privacy levels.</x:v>
      </x:c>
      <x:c r="G4" s="24" t="str">
        <x:v>Combined result revalidated without bypassing privacy protections.</x:v>
      </x:c>
      <x:c r="H4" s="24" t="str">
        <x:v>Validated</x:v>
      </x:c>
    </x:row>
    <x:row r="5">
      <x:c r="A5" s="24" t="str">
        <x:v>SQL + Web combination (if live endpoint available)</x:v>
      </x:c>
      <x:c r="B5" s="24" t="str">
        <x:v>Organizational SQL</x:v>
      </x:c>
      <x:c r="C5" s="24" t="str">
        <x:v>Public for published no-account course endpoint</x:v>
      </x:c>
      <x:c r="D5" s="24" t="str">
        <x:v>If the Web path is used, Formula.Firewall/privacy behavior is interpreted as a source-isolation issue rather than a credential or schema issue.</x:v>
      </x:c>
      <x:c r="E5" s="24" t="str">
        <x:v>Partition/source-access evidence inspected.</x:v>
      </x:c>
      <x:c r="F5" s="24" t="str">
        <x:v>Use a supported combination architecture and correct privacy classifications; do not enable Ignore Privacy Levels merely to silence the error.</x:v>
      </x:c>
      <x:c r="G5" s="24" t="str">
        <x:v>Web path/fallback data contract reconciles to 28 operations.</x:v>
      </x:c>
      <x:c r="H5" s="24" t="str">
        <x:v>Validated</x:v>
      </x:c>
    </x:row>
  </x:sheetData>
  <x:mergeCells>
    <x:mergeCell ref="A1:H1"/>
  </x:mergeCells>
  <x:conditionalFormatting sqref="H4:H5">
    <x:cfRule type="expression" dxfId="63" priority="1">
      <x:formula>H4="Validated"</x:formula>
    </x:cfRule>
    <x:cfRule type="expression" dxfId="64" priority="2">
      <x:formula>H4="Needs Review"</x:formula>
    </x:cfRule>
    <x:cfRule type="expression" dxfId="65" priority="3">
      <x:formula>H4="In Progress"</x:formula>
    </x:cfRule>
  </x:conditionalFormatting>
  <x:dataValidations count="1">
    <x:dataValidation type="list" sqref="H4:H5">
      <x:formula1>"Not Started,In Progress,Validated,Needs Review"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0" hidden="0" customWidth="1"/>
    <x:col min="5" max="5" width="76" hidden="0" customWidth="1"/>
    <x:col min="6" max="6" width="32" hidden="0" customWidth="1"/>
    <x:col min="7" max="7" width="18" hidden="0" customWidth="1"/>
  </x:cols>
  <x:sheetData>
    <x:row r="1" ht="26" customHeight="1">
      <x:c r="A1" s="6" t="str">
        <x:v>M-Generated Date and Time Preparation</x:v>
      </x:c>
      <x:c r="B1" s="6"/>
      <x:c r="C1" s="6"/>
      <x:c r="D1" s="6"/>
      <x:c r="E1" s="6"/>
      <x:c r="F1" s="6"/>
      <x:c r="G1" s="6"/>
    </x:row>
    <x:row r="3" ht="30" customHeight="1">
      <x:c r="A3" s="16" t="str">
        <x:v>Output</x:v>
      </x:c>
      <x:c r="B3" s="16" t="str">
        <x:v>ExpectedRows</x:v>
      </x:c>
      <x:c r="C3" s="16" t="str">
        <x:v>Start</x:v>
      </x:c>
      <x:c r="D3" s="16" t="str">
        <x:v>End</x:v>
      </x:c>
      <x:c r="E3" s="16" t="str">
        <x:v>MinimumFields</x:v>
      </x:c>
      <x:c r="F3" s="16" t="str">
        <x:v>LearnerRows/Observation</x:v>
      </x:c>
      <x:c r="G3" s="16" t="str">
        <x:v>Status</x:v>
      </x:c>
    </x:row>
    <x:row r="4">
      <x:c r="A4" s="24" t="str">
        <x:v>Date_Prepared</x:v>
      </x:c>
      <x:c r="B4" s="24" t="n">
        <x:v>92</x:v>
      </x:c>
      <x:c r="C4" s="24" t="str">
        <x:v>2026-07-01</x:v>
      </x:c>
      <x:c r="D4" s="24" t="str">
        <x:v>2026-09-30</x:v>
      </x:c>
      <x:c r="E4" s="24" t="str">
        <x:v>Date, Year, Quarter, MonthNumber, MonthName, YearMonth, Day, DayName, DayOfWeek, IsWeekend</x:v>
      </x:c>
      <x:c r="F4" s="24" t="str">
        <x:v>92 rows; 2026-07-01 through 2026-09-30; fields generated in M and validated.</x:v>
      </x:c>
      <x:c r="G4" s="24" t="str">
        <x:v>Validated</x:v>
      </x:c>
    </x:row>
    <x:row r="5">
      <x:c r="A5" s="24" t="str">
        <x:v>Time_Prepared</x:v>
      </x:c>
      <x:c r="B5" s="24" t="n">
        <x:v>96</x:v>
      </x:c>
      <x:c r="C5" s="24" t="str">
        <x:v>00:00</x:v>
      </x:c>
      <x:c r="D5" s="24" t="str">
        <x:v>23:45</x:v>
      </x:c>
      <x:c r="E5" s="24" t="str">
        <x:v>TimeKey/Index, Time, Hour, Minute, QuarterHourLabel/Index</x:v>
      </x:c>
      <x:c r="F5" s="24" t="str">
        <x:v>96 rows; 00:00 through 23:45 in 15-minute increments; fields generated in M and validated.</x:v>
      </x:c>
      <x:c r="G5" s="24" t="str">
        <x:v>Validated</x:v>
      </x:c>
    </x:row>
  </x:sheetData>
  <x:mergeCells>
    <x:mergeCell ref="A1:G1"/>
  </x:mergeCells>
  <x:conditionalFormatting sqref="G4:G5">
    <x:cfRule type="expression" dxfId="66" priority="1">
      <x:formula>G4="Validated"</x:formula>
    </x:cfRule>
    <x:cfRule type="expression" dxfId="67" priority="2">
      <x:formula>G4="Needs Review"</x:formula>
    </x:cfRule>
    <x:cfRule type="expression" dxfId="68" priority="3">
      <x:formula>G4="In Progress"</x:formula>
    </x:cfRule>
  </x:conditionalFormatting>
  <x:dataValidations count="1">
    <x:dataValidation type="list" sqref="G4:G5">
      <x:formula1>"Not Started,In Progress,Validated,Needs Review"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6" hidden="0" customWidth="1"/>
    <x:col min="4" max="4" width="20" hidden="0" customWidth="1"/>
    <x:col min="5" max="5" width="22" hidden="0" customWidth="1"/>
    <x:col min="6" max="6" width="18" hidden="0" customWidth="1"/>
  </x:cols>
  <x:sheetData>
    <x:row r="1" ht="26" customHeight="1">
      <x:c r="A1" s="6" t="str">
        <x:v>Enable Load and Include in Report Refresh Decisions</x:v>
      </x:c>
      <x:c r="B1" s="6"/>
      <x:c r="C1" s="6"/>
      <x:c r="D1" s="6"/>
      <x:c r="E1" s="6"/>
      <x:c r="F1" s="6"/>
    </x:row>
    <x:row r="3" ht="30" customHeight="1">
      <x:c r="A3" s="16" t="str">
        <x:v>Query</x:v>
      </x:c>
      <x:c r="B3" s="16" t="str">
        <x:v>EnableLoadExpected</x:v>
      </x:c>
      <x:c r="C3" s="16" t="str">
        <x:v>IncludeRefreshExpected</x:v>
      </x:c>
      <x:c r="D3" s="16" t="str">
        <x:v>LearnerLoad</x:v>
      </x:c>
      <x:c r="E3" s="16" t="str">
        <x:v>LearnerRefresh</x:v>
      </x:c>
      <x:c r="F3" s="16" t="str">
        <x:v>Status</x:v>
      </x:c>
    </x:row>
    <x:row r="4">
      <x:c r="A4" s="24" t="str">
        <x:v>RangeStart</x:v>
      </x:c>
      <x:c r="B4" s="24" t="str">
        <x:v>Disabled</x:v>
      </x:c>
      <x:c r="C4" s="24" t="str">
        <x:v>N/A</x:v>
      </x:c>
      <x:c r="D4" s="24" t="str">
        <x:v>Disabled</x:v>
      </x:c>
      <x:c r="E4" s="24" t="str">
        <x:v>N/A</x:v>
      </x:c>
      <x:c r="F4" s="24" t="str">
        <x:v>Validated</x:v>
      </x:c>
    </x:row>
    <x:row r="5">
      <x:c r="A5" s="24" t="str">
        <x:v>RangeEnd</x:v>
      </x:c>
      <x:c r="B5" s="24" t="str">
        <x:v>Disabled</x:v>
      </x:c>
      <x:c r="C5" s="24" t="str">
        <x:v>N/A</x:v>
      </x:c>
      <x:c r="D5" s="24" t="str">
        <x:v>Disabled</x:v>
      </x:c>
      <x:c r="E5" s="24" t="str">
        <x:v>N/A</x:v>
      </x:c>
      <x:c r="F5" s="24" t="str">
        <x:v>Validated</x:v>
      </x:c>
    </x:row>
    <x:row r="6">
      <x:c r="A6" s="24" t="str">
        <x:v>stg_SQL_Regions</x:v>
      </x:c>
      <x:c r="B6" s="24" t="str">
        <x:v>Disabled</x:v>
      </x:c>
      <x:c r="C6" s="24" t="str">
        <x:v>Enabled</x:v>
      </x:c>
      <x:c r="D6" s="24" t="str">
        <x:v>Disabled</x:v>
      </x:c>
      <x:c r="E6" s="24" t="str">
        <x:v>Enabled</x:v>
      </x:c>
      <x:c r="F6" s="24" t="str">
        <x:v>Validated</x:v>
      </x:c>
    </x:row>
    <x:row r="7">
      <x:c r="A7" s="24" t="str">
        <x:v>stg_SQL_Technologies</x:v>
      </x:c>
      <x:c r="B7" s="24" t="str">
        <x:v>Disabled</x:v>
      </x:c>
      <x:c r="C7" s="24" t="str">
        <x:v>Enabled</x:v>
      </x:c>
      <x:c r="D7" s="24" t="str">
        <x:v>Disabled</x:v>
      </x:c>
      <x:c r="E7" s="24" t="str">
        <x:v>Enabled</x:v>
      </x:c>
      <x:c r="F7" s="24" t="str">
        <x:v>Validated</x:v>
      </x:c>
    </x:row>
    <x:row r="8">
      <x:c r="A8" s="24" t="str">
        <x:v>stg_SQL_Plants</x:v>
      </x:c>
      <x:c r="B8" s="24" t="str">
        <x:v>Disabled</x:v>
      </x:c>
      <x:c r="C8" s="24" t="str">
        <x:v>Enabled</x:v>
      </x:c>
      <x:c r="D8" s="24" t="str">
        <x:v>Disabled</x:v>
      </x:c>
      <x:c r="E8" s="24" t="str">
        <x:v>Enabled</x:v>
      </x:c>
      <x:c r="F8" s="24" t="str">
        <x:v>Validated</x:v>
      </x:c>
    </x:row>
    <x:row r="9">
      <x:c r="A9" s="24" t="str">
        <x:v>stg_SQL_IntervalGeneration</x:v>
      </x:c>
      <x:c r="B9" s="24" t="str">
        <x:v>Disabled</x:v>
      </x:c>
      <x:c r="C9" s="24" t="str">
        <x:v>Enabled</x:v>
      </x:c>
      <x:c r="D9" s="24" t="str">
        <x:v>Disabled</x:v>
      </x:c>
      <x:c r="E9" s="24" t="str">
        <x:v>Enabled</x:v>
      </x:c>
      <x:c r="F9" s="24" t="str">
        <x:v>Validated</x:v>
      </x:c>
    </x:row>
    <x:row r="10">
      <x:c r="A10" s="24" t="str">
        <x:v>stg_Maintenance_Raw</x:v>
      </x:c>
      <x:c r="B10" s="24" t="str">
        <x:v>Disabled</x:v>
      </x:c>
      <x:c r="C10" s="24" t="str">
        <x:v>Enabled</x:v>
      </x:c>
      <x:c r="D10" s="24" t="str">
        <x:v>Disabled</x:v>
      </x:c>
      <x:c r="E10" s="24" t="str">
        <x:v>Enabled</x:v>
      </x:c>
      <x:c r="F10" s="24" t="str">
        <x:v>Validated</x:v>
      </x:c>
    </x:row>
    <x:row r="11">
      <x:c r="A11" s="24" t="str">
        <x:v>stg_SupplierMaster_Raw</x:v>
      </x:c>
      <x:c r="B11" s="24" t="str">
        <x:v>Disabled</x:v>
      </x:c>
      <x:c r="C11" s="24" t="str">
        <x:v>Enabled</x:v>
      </x:c>
      <x:c r="D11" s="24" t="str">
        <x:v>Disabled</x:v>
      </x:c>
      <x:c r="E11" s="24" t="str">
        <x:v>Enabled</x:v>
      </x:c>
      <x:c r="F11" s="24" t="str">
        <x:v>Validated</x:v>
      </x:c>
    </x:row>
    <x:row r="12">
      <x:c r="A12" s="24" t="str">
        <x:v>stg_SupplierActivity_Raw</x:v>
      </x:c>
      <x:c r="B12" s="24" t="str">
        <x:v>Disabled</x:v>
      </x:c>
      <x:c r="C12" s="24" t="str">
        <x:v>Enabled</x:v>
      </x:c>
      <x:c r="D12" s="24" t="str">
        <x:v>Disabled</x:v>
      </x:c>
      <x:c r="E12" s="24" t="str">
        <x:v>Enabled</x:v>
      </x:c>
      <x:c r="F12" s="24" t="str">
        <x:v>Validated</x:v>
      </x:c>
    </x:row>
    <x:row r="13">
      <x:c r="A13" s="24" t="str">
        <x:v>stg_SupplierTransform_Raw</x:v>
      </x:c>
      <x:c r="B13" s="24" t="str">
        <x:v>Disabled</x:v>
      </x:c>
      <x:c r="C13" s="24" t="str">
        <x:v>Enabled</x:v>
      </x:c>
      <x:c r="D13" s="24" t="str">
        <x:v>Disabled</x:v>
      </x:c>
      <x:c r="E13" s="24" t="str">
        <x:v>Enabled</x:v>
      </x:c>
      <x:c r="F13" s="24" t="str">
        <x:v>Validated</x:v>
      </x:c>
    </x:row>
    <x:row r="14">
      <x:c r="A14" s="24" t="str">
        <x:v>stg_TargetsWide_Raw</x:v>
      </x:c>
      <x:c r="B14" s="24" t="str">
        <x:v>Disabled</x:v>
      </x:c>
      <x:c r="C14" s="24" t="str">
        <x:v>Enabled</x:v>
      </x:c>
      <x:c r="D14" s="24" t="str">
        <x:v>Disabled</x:v>
      </x:c>
      <x:c r="E14" s="24" t="str">
        <x:v>Enabled</x:v>
      </x:c>
      <x:c r="F14" s="24" t="str">
        <x:v>Validated</x:v>
      </x:c>
    </x:row>
    <x:row r="15">
      <x:c r="A15" s="24" t="str">
        <x:v>stg_PlantExtractFiles</x:v>
      </x:c>
      <x:c r="B15" s="24" t="str">
        <x:v>Disabled</x:v>
      </x:c>
      <x:c r="C15" s="24" t="str">
        <x:v>Enabled</x:v>
      </x:c>
      <x:c r="D15" s="24" t="str">
        <x:v>Disabled</x:v>
      </x:c>
      <x:c r="E15" s="24" t="str">
        <x:v>Enabled</x:v>
      </x:c>
      <x:c r="F15" s="24" t="str">
        <x:v>Validated</x:v>
      </x:c>
    </x:row>
    <x:row r="16">
      <x:c r="A16" s="24" t="str">
        <x:v>stg_WeatherJson_Raw</x:v>
      </x:c>
      <x:c r="B16" s="24" t="str">
        <x:v>Disabled</x:v>
      </x:c>
      <x:c r="C16" s="24" t="str">
        <x:v>Enabled</x:v>
      </x:c>
      <x:c r="D16" s="24" t="str">
        <x:v>Disabled</x:v>
      </x:c>
      <x:c r="E16" s="24" t="str">
        <x:v>Enabled</x:v>
      </x:c>
      <x:c r="F16" s="24" t="str">
        <x:v>Validated</x:v>
      </x:c>
    </x:row>
    <x:row r="17">
      <x:c r="A17" s="24" t="str">
        <x:v>stg_MaintenanceXml_Raw</x:v>
      </x:c>
      <x:c r="B17" s="24" t="str">
        <x:v>Disabled</x:v>
      </x:c>
      <x:c r="C17" s="24" t="str">
        <x:v>Enabled</x:v>
      </x:c>
      <x:c r="D17" s="24" t="str">
        <x:v>Disabled</x:v>
      </x:c>
      <x:c r="E17" s="24" t="str">
        <x:v>Enabled</x:v>
      </x:c>
      <x:c r="F17" s="24" t="str">
        <x:v>Validated</x:v>
      </x:c>
    </x:row>
    <x:row r="18">
      <x:c r="A18" s="24" t="str">
        <x:v>stg_PayloadColumns_Raw</x:v>
      </x:c>
      <x:c r="B18" s="24" t="str">
        <x:v>Disabled</x:v>
      </x:c>
      <x:c r="C18" s="24" t="str">
        <x:v>Enabled</x:v>
      </x:c>
      <x:c r="D18" s="24" t="str">
        <x:v>Disabled</x:v>
      </x:c>
      <x:c r="E18" s="24" t="str">
        <x:v>Enabled</x:v>
      </x:c>
      <x:c r="F18" s="24" t="str">
        <x:v>Validated</x:v>
      </x:c>
    </x:row>
    <x:row r="19">
      <x:c r="A19" s="24" t="str">
        <x:v>fnTransformPlantExtract</x:v>
      </x:c>
      <x:c r="B19" s="24" t="str">
        <x:v>Disabled</x:v>
      </x:c>
      <x:c r="C19" s="24" t="str">
        <x:v>N/A</x:v>
      </x:c>
      <x:c r="D19" s="24" t="str">
        <x:v>Disabled</x:v>
      </x:c>
      <x:c r="E19" s="24" t="str">
        <x:v>N/A</x:v>
      </x:c>
      <x:c r="F19" s="24" t="str">
        <x:v>Validated</x:v>
      </x:c>
    </x:row>
    <x:row r="20">
      <x:c r="A20" s="24" t="str">
        <x:v>fnNormalizeSupplierName</x:v>
      </x:c>
      <x:c r="B20" s="24" t="str">
        <x:v>Disabled</x:v>
      </x:c>
      <x:c r="C20" s="24" t="str">
        <x:v>N/A</x:v>
      </x:c>
      <x:c r="D20" s="24" t="str">
        <x:v>Disabled</x:v>
      </x:c>
      <x:c r="E20" s="24" t="str">
        <x:v>N/A</x:v>
      </x:c>
      <x:c r="F20" s="24" t="str">
        <x:v>Validated</x:v>
      </x:c>
    </x:row>
    <x:row r="21">
      <x:c r="A21" s="24" t="str">
        <x:v>fnGetApiPage</x:v>
      </x:c>
      <x:c r="B21" s="24" t="str">
        <x:v>Disabled</x:v>
      </x:c>
      <x:c r="C21" s="24" t="str">
        <x:v>N/A</x:v>
      </x:c>
      <x:c r="D21" s="24" t="str">
        <x:v>Disabled</x:v>
      </x:c>
      <x:c r="E21" s="24" t="str">
        <x:v>N/A</x:v>
      </x:c>
      <x:c r="F21" s="24" t="str">
        <x:v>Validated</x:v>
      </x:c>
    </x:row>
    <x:row r="22">
      <x:c r="A22" s="24" t="str">
        <x:v>fnParseJsonPayload</x:v>
      </x:c>
      <x:c r="B22" s="24" t="str">
        <x:v>Disabled</x:v>
      </x:c>
      <x:c r="C22" s="24" t="str">
        <x:v>N/A</x:v>
      </x:c>
      <x:c r="D22" s="24" t="str">
        <x:v>Disabled</x:v>
      </x:c>
      <x:c r="E22" s="24" t="str">
        <x:v>N/A</x:v>
      </x:c>
      <x:c r="F22" s="24" t="str">
        <x:v>Validated</x:v>
      </x:c>
    </x:row>
    <x:row r="23">
      <x:c r="A23" s="24" t="str">
        <x:v>fnParseXmlPayload</x:v>
      </x:c>
      <x:c r="B23" s="24" t="str">
        <x:v>Disabled</x:v>
      </x:c>
      <x:c r="C23" s="24" t="str">
        <x:v>N/A</x:v>
      </x:c>
      <x:c r="D23" s="24" t="str">
        <x:v>Disabled</x:v>
      </x:c>
      <x:c r="E23" s="24" t="str">
        <x:v>N/A</x:v>
      </x:c>
      <x:c r="F23" s="24" t="str">
        <x:v>Validated</x:v>
      </x:c>
    </x:row>
    <x:row r="24">
      <x:c r="A24" s="24" t="str">
        <x:v>Regions_Prepared</x:v>
      </x:c>
      <x:c r="B24" s="24" t="str">
        <x:v>Enabled</x:v>
      </x:c>
      <x:c r="C24" s="24" t="str">
        <x:v>Enabled</x:v>
      </x:c>
      <x:c r="D24" s="24" t="str">
        <x:v>Enabled</x:v>
      </x:c>
      <x:c r="E24" s="24" t="str">
        <x:v>Enabled</x:v>
      </x:c>
      <x:c r="F24" s="24" t="str">
        <x:v>Validated</x:v>
      </x:c>
    </x:row>
    <x:row r="25">
      <x:c r="A25" s="24" t="str">
        <x:v>Plants_Prepared</x:v>
      </x:c>
      <x:c r="B25" s="24" t="str">
        <x:v>Enabled</x:v>
      </x:c>
      <x:c r="C25" s="24" t="str">
        <x:v>Enabled</x:v>
      </x:c>
      <x:c r="D25" s="24" t="str">
        <x:v>Enabled</x:v>
      </x:c>
      <x:c r="E25" s="24" t="str">
        <x:v>Enabled</x:v>
      </x:c>
      <x:c r="F25" s="24" t="str">
        <x:v>Validated</x:v>
      </x:c>
    </x:row>
    <x:row r="26">
      <x:c r="A26" s="24" t="str">
        <x:v>Generation_Prepared</x:v>
      </x:c>
      <x:c r="B26" s="24" t="str">
        <x:v>Enabled</x:v>
      </x:c>
      <x:c r="C26" s="24" t="str">
        <x:v>Enabled</x:v>
      </x:c>
      <x:c r="D26" s="24" t="str">
        <x:v>Enabled</x:v>
      </x:c>
      <x:c r="E26" s="24" t="str">
        <x:v>Enabled</x:v>
      </x:c>
      <x:c r="F26" s="24" t="str">
        <x:v>Validated</x:v>
      </x:c>
    </x:row>
    <x:row r="27">
      <x:c r="A27" s="24" t="str">
        <x:v>Maintenance_Prepared</x:v>
      </x:c>
      <x:c r="B27" s="24" t="str">
        <x:v>Enabled</x:v>
      </x:c>
      <x:c r="C27" s="24" t="str">
        <x:v>Enabled</x:v>
      </x:c>
      <x:c r="D27" s="24" t="str">
        <x:v>Enabled</x:v>
      </x:c>
      <x:c r="E27" s="24" t="str">
        <x:v>Enabled</x:v>
      </x:c>
      <x:c r="F27" s="24" t="str">
        <x:v>Validated</x:v>
      </x:c>
    </x:row>
    <x:row r="28">
      <x:c r="A28" s="24" t="str">
        <x:v>Targets_Prepared</x:v>
      </x:c>
      <x:c r="B28" s="24" t="str">
        <x:v>Enabled</x:v>
      </x:c>
      <x:c r="C28" s="24" t="str">
        <x:v>Enabled</x:v>
      </x:c>
      <x:c r="D28" s="24" t="str">
        <x:v>Enabled</x:v>
      </x:c>
      <x:c r="E28" s="24" t="str">
        <x:v>Enabled</x:v>
      </x:c>
      <x:c r="F28" s="24" t="str">
        <x:v>Validated</x:v>
      </x:c>
    </x:row>
    <x:row r="29">
      <x:c r="A29" s="24" t="str">
        <x:v>Suppliers_Prepared</x:v>
      </x:c>
      <x:c r="B29" s="24" t="str">
        <x:v>Enabled</x:v>
      </x:c>
      <x:c r="C29" s="24" t="str">
        <x:v>Enabled</x:v>
      </x:c>
      <x:c r="D29" s="24" t="str">
        <x:v>Enabled</x:v>
      </x:c>
      <x:c r="E29" s="24" t="str">
        <x:v>Enabled</x:v>
      </x:c>
      <x:c r="F29" s="24" t="str">
        <x:v>Validated</x:v>
      </x:c>
    </x:row>
    <x:row r="30">
      <x:c r="A30" s="24" t="str">
        <x:v>SupplierActivity_Prepared</x:v>
      </x:c>
      <x:c r="B30" s="24" t="str">
        <x:v>Enabled</x:v>
      </x:c>
      <x:c r="C30" s="24" t="str">
        <x:v>Enabled</x:v>
      </x:c>
      <x:c r="D30" s="24" t="str">
        <x:v>Enabled</x:v>
      </x:c>
      <x:c r="E30" s="24" t="str">
        <x:v>Enabled</x:v>
      </x:c>
      <x:c r="F30" s="24" t="str">
        <x:v>Validated</x:v>
      </x:c>
    </x:row>
    <x:row r="31">
      <x:c r="A31" s="24" t="str">
        <x:v>Weather_Prepared</x:v>
      </x:c>
      <x:c r="B31" s="24" t="str">
        <x:v>Enabled</x:v>
      </x:c>
      <x:c r="C31" s="24" t="str">
        <x:v>Enabled</x:v>
      </x:c>
      <x:c r="D31" s="24" t="str">
        <x:v>Enabled</x:v>
      </x:c>
      <x:c r="E31" s="24" t="str">
        <x:v>Enabled</x:v>
      </x:c>
      <x:c r="F31" s="24" t="str">
        <x:v>Validated</x:v>
      </x:c>
    </x:row>
    <x:row r="32">
      <x:c r="A32" s="24" t="str">
        <x:v>ApiOperations_Prepared</x:v>
      </x:c>
      <x:c r="B32" s="24" t="str">
        <x:v>Enabled</x:v>
      </x:c>
      <x:c r="C32" s="24" t="str">
        <x:v>Enabled</x:v>
      </x:c>
      <x:c r="D32" s="24" t="str">
        <x:v>Enabled</x:v>
      </x:c>
      <x:c r="E32" s="24" t="str">
        <x:v>Enabled</x:v>
      </x:c>
      <x:c r="F32" s="24" t="str">
        <x:v>Validated</x:v>
      </x:c>
    </x:row>
    <x:row r="33">
      <x:c r="A33" s="24" t="str">
        <x:v>Date_Prepared</x:v>
      </x:c>
      <x:c r="B33" s="24" t="str">
        <x:v>Enabled</x:v>
      </x:c>
      <x:c r="C33" s="24" t="str">
        <x:v>Enabled</x:v>
      </x:c>
      <x:c r="D33" s="24" t="str">
        <x:v>Enabled</x:v>
      </x:c>
      <x:c r="E33" s="24" t="str">
        <x:v>Enabled</x:v>
      </x:c>
      <x:c r="F33" s="24" t="str">
        <x:v>Validated</x:v>
      </x:c>
    </x:row>
    <x:row r="34">
      <x:c r="A34" s="24" t="str">
        <x:v>Time_Prepared</x:v>
      </x:c>
      <x:c r="B34" s="24" t="str">
        <x:v>Enabled</x:v>
      </x:c>
      <x:c r="C34" s="24" t="str">
        <x:v>Enabled</x:v>
      </x:c>
      <x:c r="D34" s="24" t="str">
        <x:v>Enabled</x:v>
      </x:c>
      <x:c r="E34" s="24" t="str">
        <x:v>Enabled</x:v>
      </x:c>
      <x:c r="F34" s="24" t="str">
        <x:v>Validated</x:v>
      </x:c>
    </x:row>
    <x:row r="35">
      <x:c r="A35" s="24" t="str">
        <x:v>Audit_MaintenanceErrors</x:v>
      </x:c>
      <x:c r="B35" s="24" t="str">
        <x:v>Disabled</x:v>
      </x:c>
      <x:c r="C35" s="24" t="str">
        <x:v>Enabled</x:v>
      </x:c>
      <x:c r="D35" s="24" t="str">
        <x:v>Disabled</x:v>
      </x:c>
      <x:c r="E35" s="24" t="str">
        <x:v>Enabled</x:v>
      </x:c>
      <x:c r="F35" s="24" t="str">
        <x:v>Validated</x:v>
      </x:c>
    </x:row>
    <x:row r="36">
      <x:c r="A36" s="24" t="str">
        <x:v>Audit_SupplierUnmatched</x:v>
      </x:c>
      <x:c r="B36" s="24" t="str">
        <x:v>Disabled</x:v>
      </x:c>
      <x:c r="C36" s="24" t="str">
        <x:v>Enabled</x:v>
      </x:c>
      <x:c r="D36" s="24" t="str">
        <x:v>Disabled</x:v>
      </x:c>
      <x:c r="E36" s="24" t="str">
        <x:v>Enabled</x:v>
      </x:c>
      <x:c r="F36" s="24" t="str">
        <x:v>Validated</x:v>
      </x:c>
    </x:row>
    <x:row r="37">
      <x:c r="A37" s="24" t="str">
        <x:v>Audit_FolderSchema</x:v>
      </x:c>
      <x:c r="B37" s="24" t="str">
        <x:v>Disabled</x:v>
      </x:c>
      <x:c r="C37" s="24" t="str">
        <x:v>Enabled</x:v>
      </x:c>
      <x:c r="D37" s="24" t="str">
        <x:v>Disabled</x:v>
      </x:c>
      <x:c r="E37" s="24" t="str">
        <x:v>Enabled</x:v>
      </x:c>
      <x:c r="F37" s="24" t="str">
        <x:v>Validated</x:v>
      </x:c>
    </x:row>
    <x:row r="38">
      <x:c r="A38" s="24" t="str">
        <x:v>Audit_ApiPages</x:v>
      </x:c>
      <x:c r="B38" s="24" t="str">
        <x:v>Disabled</x:v>
      </x:c>
      <x:c r="C38" s="24" t="str">
        <x:v>Enabled</x:v>
      </x:c>
      <x:c r="D38" s="24" t="str">
        <x:v>Disabled</x:v>
      </x:c>
      <x:c r="E38" s="24" t="str">
        <x:v>Enabled</x:v>
      </x:c>
      <x:c r="F38" s="24" t="str">
        <x:v>Validated</x:v>
      </x:c>
    </x:row>
    <x:row r="39">
      <x:c r="A39" s="24" t="str">
        <x:v>Audit_TypeFailures</x:v>
      </x:c>
      <x:c r="B39" s="24" t="str">
        <x:v>Disabled</x:v>
      </x:c>
      <x:c r="C39" s="24" t="str">
        <x:v>Enabled</x:v>
      </x:c>
      <x:c r="D39" s="24" t="str">
        <x:v>Disabled</x:v>
      </x:c>
      <x:c r="E39" s="24" t="str">
        <x:v>Enabled</x:v>
      </x:c>
      <x:c r="F39" s="24" t="str">
        <x:v>Validated</x:v>
      </x:c>
    </x:row>
  </x:sheetData>
  <x:mergeCells>
    <x:mergeCell ref="A1:F1"/>
  </x:mergeCells>
  <x:conditionalFormatting sqref="F4:F39">
    <x:cfRule type="expression" dxfId="69" priority="1">
      <x:formula>F4="Validated"</x:formula>
    </x:cfRule>
    <x:cfRule type="expression" dxfId="70" priority="2">
      <x:formula>F4="Needs Review"</x:formula>
    </x:cfRule>
    <x:cfRule type="expression" dxfId="71" priority="3">
      <x:formula>F4="In Progress"</x:formula>
    </x:cfRule>
  </x:conditionalFormatting>
  <x:dataValidations count="1">
    <x:dataValidation type="list" sqref="F4:F39">
      <x:formula1>"Not Started,In Progress,Validated,Needs Review"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6" hidden="0" customWidth="1"/>
    <x:col min="3" max="3" width="26" hidden="0" customWidth="1"/>
    <x:col min="4" max="4" width="42" hidden="0" customWidth="1"/>
    <x:col min="5" max="5" width="18" hidden="0" customWidth="1"/>
  </x:cols>
  <x:sheetData>
    <x:row r="1" ht="26" customHeight="1">
      <x:c r="A1" s="6" t="str">
        <x:v>Final Prepared-State Reconciliation</x:v>
      </x:c>
      <x:c r="B1" s="6"/>
      <x:c r="C1" s="6"/>
      <x:c r="D1" s="6"/>
      <x:c r="E1" s="6"/>
    </x:row>
    <x:row r="3" ht="30" customHeight="1">
      <x:c r="A3" s="16" t="str">
        <x:v>ValidationItem</x:v>
      </x:c>
      <x:c r="B3" s="16" t="str">
        <x:v>Expected</x:v>
      </x:c>
      <x:c r="C3" s="16" t="str">
        <x:v>LearnerResult</x:v>
      </x:c>
      <x:c r="D3" s="16" t="str">
        <x:v>Difference/Comment</x:v>
      </x:c>
      <x:c r="E3" s="16" t="str">
        <x:v>Status</x:v>
      </x:c>
    </x:row>
    <x:row r="4">
      <x:c r="A4" s="24" t="str">
        <x:v>Regions_Prepared rows</x:v>
      </x:c>
      <x:c r="B4" s="24" t="str">
        <x:v>4</x:v>
      </x:c>
      <x:c r="C4" s="41" t="str">
        <x:v>4</x:v>
      </x:c>
      <x:c r="D4" s="41" t="n">
        <x:f>IF(OR(B4="",C4=""),"",IFERROR(C4-B4,"Check text/format"))</x:f>
        <x:v>0</x:v>
      </x:c>
      <x:c r="E4" s="24" t="str">
        <x:v>Validated</x:v>
      </x:c>
    </x:row>
    <x:row r="5">
      <x:c r="A5" s="24" t="str">
        <x:v>Plants_Prepared rows</x:v>
      </x:c>
      <x:c r="B5" s="24" t="str">
        <x:v>12</x:v>
      </x:c>
      <x:c r="C5" s="41" t="str">
        <x:v>12</x:v>
      </x:c>
      <x:c r="D5" s="41" t="n">
        <x:f>IF(OR(B5="",C5=""),"",IFERROR(C5-B5,"Check text/format"))</x:f>
        <x:v>0</x:v>
      </x:c>
      <x:c r="E5" s="24" t="str">
        <x:v>Validated</x:v>
      </x:c>
    </x:row>
    <x:row r="6">
      <x:c r="A6" s="24" t="str">
        <x:v>Generation_Prepared rows</x:v>
      </x:c>
      <x:c r="B6" s="24" t="str">
        <x:v>1012</x:v>
      </x:c>
      <x:c r="C6" s="41" t="str">
        <x:v>1012</x:v>
      </x:c>
      <x:c r="D6" s="41" t="n">
        <x:f>IF(OR(B6="",C6=""),"",IFERROR(C6-B6,"Check text/format"))</x:f>
        <x:v>0</x:v>
      </x:c>
      <x:c r="E6" s="24" t="str">
        <x:v>Validated</x:v>
      </x:c>
    </x:row>
    <x:row r="7">
      <x:c r="A7" s="24" t="str">
        <x:v>Generation actual MWh</x:v>
      </x:c>
      <x:c r="B7" s="24" t="str">
        <x:v>2088673.20</x:v>
      </x:c>
      <x:c r="C7" s="41" t="str">
        <x:v>2088673.20</x:v>
      </x:c>
      <x:c r="D7" s="41" t="n">
        <x:f>IF(OR(B7="",C7=""),"",IFERROR(C7-B7,"Check text/format"))</x:f>
        <x:v>0</x:v>
      </x:c>
      <x:c r="E7" s="24" t="str">
        <x:v>Validated</x:v>
      </x:c>
    </x:row>
    <x:row r="8">
      <x:c r="A8" s="24" t="str">
        <x:v>Generation forecast MWh</x:v>
      </x:c>
      <x:c r="B8" s="24" t="str">
        <x:v>2077142.54</x:v>
      </x:c>
      <x:c r="C8" s="41" t="str">
        <x:v>2077142.54</x:v>
      </x:c>
      <x:c r="D8" s="41" t="n">
        <x:f>IF(OR(B8="",C8=""),"",IFERROR(C8-B8,"Check text/format"))</x:f>
        <x:v>0</x:v>
      </x:c>
      <x:c r="E8" s="24" t="str">
        <x:v>Validated</x:v>
      </x:c>
    </x:row>
    <x:row r="9">
      <x:c r="A9" s="24" t="str">
        <x:v>Generation variance MWh</x:v>
      </x:c>
      <x:c r="B9" s="24" t="str">
        <x:v>11530.66</x:v>
      </x:c>
      <x:c r="C9" s="41" t="str">
        <x:v>11530.66</x:v>
      </x:c>
      <x:c r="D9" s="41" t="n">
        <x:f>IF(OR(B9="",C9=""),"",IFERROR(C9-B9,"Check text/format"))</x:f>
        <x:v>0</x:v>
      </x:c>
      <x:c r="E9" s="24" t="str">
        <x:v>Validated</x:v>
      </x:c>
    </x:row>
    <x:row r="10">
      <x:c r="A10" s="24" t="str">
        <x:v>Maintenance_Prepared rows</x:v>
      </x:c>
      <x:c r="B10" s="24" t="str">
        <x:v>23</x:v>
      </x:c>
      <x:c r="C10" s="41" t="str">
        <x:v>23</x:v>
      </x:c>
      <x:c r="D10" s="41" t="n">
        <x:f>IF(OR(B10="",C10=""),"",IFERROR(C10-B10,"Check text/format"))</x:f>
        <x:v>0</x:v>
      </x:c>
      <x:c r="E10" s="24" t="str">
        <x:v>Validated</x:v>
      </x:c>
    </x:row>
    <x:row r="11">
      <x:c r="A11" s="24" t="str">
        <x:v>Maintenance error-audit rows</x:v>
      </x:c>
      <x:c r="B11" s="24" t="str">
        <x:v>3</x:v>
      </x:c>
      <x:c r="C11" s="41" t="str">
        <x:v>3</x:v>
      </x:c>
      <x:c r="D11" s="41" t="n">
        <x:f>IF(OR(B11="",C11=""),"",IFERROR(C11-B11,"Check text/format"))</x:f>
        <x:v>0</x:v>
      </x:c>
      <x:c r="E11" s="24" t="str">
        <x:v>Validated</x:v>
      </x:c>
    </x:row>
    <x:row r="12">
      <x:c r="A12" s="24" t="str">
        <x:v>Maintenance total cost USD</x:v>
      </x:c>
      <x:c r="B12" s="24" t="str">
        <x:v>50536.50</x:v>
      </x:c>
      <x:c r="C12" s="41" t="str">
        <x:v>50536.50</x:v>
      </x:c>
      <x:c r="D12" s="41" t="n">
        <x:f>IF(OR(B12="",C12=""),"",IFERROR(C12-B12,"Check text/format"))</x:f>
        <x:v>0</x:v>
      </x:c>
      <x:c r="E12" s="24" t="str">
        <x:v>Validated</x:v>
      </x:c>
    </x:row>
    <x:row r="13">
      <x:c r="A13" s="24" t="str">
        <x:v>Maintenance total duration hours</x:v>
      </x:c>
      <x:c r="B13" s="24" t="str">
        <x:v>86.00</x:v>
      </x:c>
      <x:c r="C13" s="41" t="str">
        <x:v>86.00</x:v>
      </x:c>
      <x:c r="D13" s="41" t="n">
        <x:f>IF(OR(B13="",C13=""),"",IFERROR(C13-B13,"Check text/format"))</x:f>
        <x:v>0</x:v>
      </x:c>
      <x:c r="E13" s="24" t="str">
        <x:v>Validated</x:v>
      </x:c>
    </x:row>
    <x:row r="14">
      <x:c r="A14" s="24" t="str">
        <x:v>Targets_Prepared rows</x:v>
      </x:c>
      <x:c r="B14" s="24" t="str">
        <x:v>69</x:v>
      </x:c>
      <x:c r="C14" s="41" t="str">
        <x:v>69</x:v>
      </x:c>
      <x:c r="D14" s="41" t="n">
        <x:f>IF(OR(B14="",C14=""),"",IFERROR(C14-B14,"Check text/format"))</x:f>
        <x:v>0</x:v>
      </x:c>
      <x:c r="E14" s="24" t="str">
        <x:v>Validated</x:v>
      </x:c>
    </x:row>
    <x:row r="15">
      <x:c r="A15" s="24" t="str">
        <x:v>Suppliers_Prepared rows</x:v>
      </x:c>
      <x:c r="B15" s="24" t="str">
        <x:v>12</x:v>
      </x:c>
      <x:c r="C15" s="41" t="str">
        <x:v>12</x:v>
      </x:c>
      <x:c r="D15" s="41" t="n">
        <x:f>IF(OR(B15="",C15=""),"",IFERROR(C15-B15,"Check text/format"))</x:f>
        <x:v>0</x:v>
      </x:c>
      <x:c r="E15" s="24" t="str">
        <x:v>Validated</x:v>
      </x:c>
    </x:row>
    <x:row r="16">
      <x:c r="A16" s="24" t="str">
        <x:v>SupplierActivity_Prepared rows</x:v>
      </x:c>
      <x:c r="B16" s="24" t="str">
        <x:v>36</x:v>
      </x:c>
      <x:c r="C16" s="41" t="str">
        <x:v>36</x:v>
      </x:c>
      <x:c r="D16" s="41" t="n">
        <x:f>IF(OR(B16="",C16=""),"",IFERROR(C16-B16,"Check text/format"))</x:f>
        <x:v>0</x:v>
      </x:c>
      <x:c r="E16" s="24" t="str">
        <x:v>Validated</x:v>
      </x:c>
    </x:row>
    <x:row r="17">
      <x:c r="A17" s="24" t="str">
        <x:v>Supplier matched rows</x:v>
      </x:c>
      <x:c r="B17" s="24" t="str">
        <x:v>30</x:v>
      </x:c>
      <x:c r="C17" s="41" t="str">
        <x:v>30</x:v>
      </x:c>
      <x:c r="D17" s="41" t="n">
        <x:f>IF(OR(B17="",C17=""),"",IFERROR(C17-B17,"Check text/format"))</x:f>
        <x:v>0</x:v>
      </x:c>
      <x:c r="E17" s="24" t="str">
        <x:v>Validated</x:v>
      </x:c>
    </x:row>
    <x:row r="18">
      <x:c r="A18" s="24" t="str">
        <x:v>Supplier unmatched rows</x:v>
      </x:c>
      <x:c r="B18" s="24" t="str">
        <x:v>6</x:v>
      </x:c>
      <x:c r="C18" s="41" t="str">
        <x:v>6</x:v>
      </x:c>
      <x:c r="D18" s="41" t="n">
        <x:f>IF(OR(B18="",C18=""),"",IFERROR(C18-B18,"Check text/format"))</x:f>
        <x:v>0</x:v>
      </x:c>
      <x:c r="E18" s="24" t="str">
        <x:v>Validated</x:v>
      </x:c>
    </x:row>
    <x:row r="19">
      <x:c r="A19" s="24" t="str">
        <x:v>Weather_Prepared rows</x:v>
      </x:c>
      <x:c r="B19" s="24" t="str">
        <x:v>20</x:v>
      </x:c>
      <x:c r="C19" s="41" t="str">
        <x:v>20</x:v>
      </x:c>
      <x:c r="D19" s="41" t="n">
        <x:f>IF(OR(B19="",C19=""),"",IFERROR(C19-B19,"Check text/format"))</x:f>
        <x:v>0</x:v>
      </x:c>
      <x:c r="E19" s="24" t="str">
        <x:v>Validated</x:v>
      </x:c>
    </x:row>
    <x:row r="20">
      <x:c r="A20" s="24" t="str">
        <x:v>Weather nested alerts</x:v>
      </x:c>
      <x:c r="B20" s="24" t="str">
        <x:v>6</x:v>
      </x:c>
      <x:c r="C20" s="41" t="str">
        <x:v>6</x:v>
      </x:c>
      <x:c r="D20" s="41" t="n">
        <x:f>IF(OR(B20="",C20=""),"",IFERROR(C20-B20,"Check text/format"))</x:f>
        <x:v>0</x:v>
      </x:c>
      <x:c r="E20" s="24" t="str">
        <x:v>Validated</x:v>
      </x:c>
    </x:row>
    <x:row r="21">
      <x:c r="A21" s="24" t="str">
        <x:v>ApiOperations_Prepared rows</x:v>
      </x:c>
      <x:c r="B21" s="24" t="str">
        <x:v>28</x:v>
      </x:c>
      <x:c r="C21" s="41" t="str">
        <x:v>28</x:v>
      </x:c>
      <x:c r="D21" s="41" t="n">
        <x:f>IF(OR(B21="",C21=""),"",IFERROR(C21-B21,"Check text/format"))</x:f>
        <x:v>0</x:v>
      </x:c>
      <x:c r="E21" s="24" t="str">
        <x:v>Validated</x:v>
      </x:c>
    </x:row>
    <x:row r="22">
      <x:c r="A22" s="24" t="str">
        <x:v>Date_Prepared rows</x:v>
      </x:c>
      <x:c r="B22" s="24" t="str">
        <x:v>92</x:v>
      </x:c>
      <x:c r="C22" s="41" t="str">
        <x:v>92</x:v>
      </x:c>
      <x:c r="D22" s="41" t="n">
        <x:f>IF(OR(B22="",C22=""),"",IFERROR(C22-B22,"Check text/format"))</x:f>
        <x:v>0</x:v>
      </x:c>
      <x:c r="E22" s="24" t="str">
        <x:v>Validated</x:v>
      </x:c>
    </x:row>
    <x:row r="23">
      <x:c r="A23" s="24" t="str">
        <x:v>Time_Prepared rows</x:v>
      </x:c>
      <x:c r="B23" s="24" t="str">
        <x:v>96</x:v>
      </x:c>
      <x:c r="C23" s="41" t="str">
        <x:v>96</x:v>
      </x:c>
      <x:c r="D23" s="41" t="n">
        <x:f>IF(OR(B23="",C23=""),"",IFERROR(C23-B23,"Check text/format"))</x:f>
        <x:v>0</x:v>
      </x:c>
      <x:c r="E23" s="24" t="str">
        <x:v>Validated</x:v>
      </x:c>
    </x:row>
    <x:row r="24">
      <x:c r="A24" s="24" t="str">
        <x:v>SQL Q3 Range rows</x:v>
      </x:c>
      <x:c r="B24" s="24" t="str">
        <x:v>97152</x:v>
      </x:c>
      <x:c r="C24" s="41" t="str">
        <x:v>97152</x:v>
      </x:c>
      <x:c r="D24" s="41" t="n">
        <x:f>IF(OR(B24="",C24=""),"",IFERROR(C24-B24,"Check text/format"))</x:f>
        <x:v>0</x:v>
      </x:c>
      <x:c r="E24" s="24" t="str">
        <x:v>Validated</x:v>
      </x:c>
    </x:row>
    <x:row r="25">
      <x:c r="A25" s="24" t="str">
        <x:v>SQL Q3 Actual MWh</x:v>
      </x:c>
      <x:c r="B25" s="24" t="str">
        <x:v>2084353.3725</x:v>
      </x:c>
      <x:c r="C25" s="41" t="str">
        <x:v>2084353.3725</x:v>
      </x:c>
      <x:c r="D25" s="41" t="n">
        <x:f>IF(OR(B25="",C25=""),"",IFERROR(C25-B25,"Check text/format"))</x:f>
        <x:v>0</x:v>
      </x:c>
      <x:c r="E25" s="24" t="str">
        <x:v>Validated</x:v>
      </x:c>
    </x:row>
    <x:row r="26">
      <x:c r="A26" s="24" t="str">
        <x:v>SQL Q3 Forecast MWh</x:v>
      </x:c>
      <x:c r="B26" s="24" t="str">
        <x:v>2084352.9967</x:v>
      </x:c>
      <x:c r="C26" s="41" t="str">
        <x:v>2084352.9967</x:v>
      </x:c>
      <x:c r="D26" s="41" t="n">
        <x:f>IF(OR(B26="",C26=""),"",IFERROR(C26-B26,"Check text/format"))</x:f>
        <x:v>0</x:v>
      </x:c>
      <x:c r="E26" s="24" t="str">
        <x:v>Validated</x:v>
      </x:c>
    </x:row>
    <x:row r="27">
      <x:c r="A27" s="24" t="str">
        <x:v>SQL Q3 Variance MWh</x:v>
      </x:c>
      <x:c r="B27" s="24" t="str">
        <x:v>0.3758</x:v>
      </x:c>
      <x:c r="C27" s="41" t="str">
        <x:v>0.3758</x:v>
      </x:c>
      <x:c r="D27" s="41" t="n">
        <x:f>IF(OR(B27="",C27=""),"",IFERROR(C27-B27,"Check text/format"))</x:f>
        <x:v>0</x:v>
      </x:c>
      <x:c r="E27" s="24" t="str">
        <x:v>Validated</x:v>
      </x:c>
    </x:row>
  </x:sheetData>
  <x:mergeCells>
    <x:mergeCell ref="A1:E1"/>
  </x:mergeCells>
  <x:conditionalFormatting sqref="E4:E27">
    <x:cfRule type="expression" dxfId="72" priority="1">
      <x:formula>E4="Validated"</x:formula>
    </x:cfRule>
    <x:cfRule type="expression" dxfId="73" priority="2">
      <x:formula>E4="Needs Review"</x:formula>
    </x:cfRule>
    <x:cfRule type="expression" dxfId="74" priority="3">
      <x:formula>E4="In Progress"</x:formula>
    </x:cfRule>
  </x:conditionalFormatting>
  <x:dataValidations count="1">
    <x:dataValidation type="list" sqref="E4:E27">
      <x:formula1>"Not Started,In Progress,Validated,Needs Review"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4" hidden="0" customWidth="1"/>
    <x:col min="2" max="2" width="40" hidden="0" customWidth="1"/>
    <x:col min="3" max="3" width="52" hidden="0" customWidth="1"/>
    <x:col min="4" max="4" width="66" hidden="0" customWidth="1"/>
    <x:col min="5" max="5" width="18" hidden="0" customWidth="1"/>
  </x:cols>
  <x:sheetData>
    <x:row r="1" ht="26" customHeight="1">
      <x:c r="A1" s="6" t="str">
        <x:v>Module Three Analytical Challenge</x:v>
      </x:c>
      <x:c r="B1" s="6"/>
      <x:c r="C1" s="6"/>
      <x:c r="D1" s="6"/>
      <x:c r="E1" s="6"/>
    </x:row>
    <x:row r="3" ht="30" customHeight="1">
      <x:c r="A3" s="16" t="str">
        <x:v>Scenario</x:v>
      </x:c>
      <x:c r="B3" s="16" t="str">
        <x:v>LearnerDecision</x:v>
      </x:c>
      <x:c r="C3" s="16" t="str">
        <x:v>Evidence</x:v>
      </x:c>
      <x:c r="D3" s="16" t="str">
        <x:v>ProfessionalReasoning</x:v>
      </x:c>
      <x:c r="E3" s="16" t="str">
        <x:v>Status</x:v>
      </x:c>
    </x:row>
    <x:row r="4">
      <x:c r="A4" s="24" t="str">
        <x:v>A new October target column arrives. Which unpivot pattern should you approve and why?</x:v>
      </x:c>
      <x:c r="B4" s="41" t="str">
        <x:v>Approve Unpivot Other Columns while retaining identifier columns.</x:v>
      </x:c>
      <x:c r="C4" s="41" t="str">
        <x:v>The frozen added-October variant turns 23 wide rows into 92 long rows without editing the month list.</x:v>
      </x:c>
      <x:c r="D4" s="41" t="str">
        <x:v>This is schema-resilient because future measure/month columns are treated as data while the stable identifiers define the contract.</x:v>
      </x:c>
      <x:c r="E4" s="24" t="str">
        <x:v>Validated</x:v>
      </x:c>
    </x:row>
    <x:row r="5">
      <x:c r="A5" s="24" t="str">
        <x:v>A generation value is 'not_available'. Why is replacing it with zero analytically unsafe?</x:v>
      </x:c>
      <x:c r="B5" s="41" t="str">
        <x:v>Do not replace the value with zero; quarantine/audit the conversion failure and investigate the source.</x:v>
      </x:c>
      <x:c r="C5" s="41" t="str">
        <x:v>The changed-type variant contains an explicit not_available token.</x:v>
      </x:c>
      <x:c r="D5" s="41" t="str">
        <x:v>Zero is a real generation measurement; substituting it would create false operational evidence and distort totals.</x:v>
      </x:c>
      <x:c r="E5" s="24" t="str">
        <x:v>Validated</x:v>
      </x:c>
    </x:row>
    <x:row r="6">
      <x:c r="A6" s="24" t="str">
        <x:v>A folder combine returns only 682 rows after a layout change. What layer should you investigate first?</x:v>
      </x:c>
      <x:c r="B6" s="41" t="str">
        <x:v>Investigate the folder enumeration/source-layout layer before transformation logic.</x:v>
      </x:c>
      <x:c r="C6" s="41" t="str">
        <x:v>The healthy baseline is 341 + 341 + 330 = 1,012 rows; 682 means September was not enumerated.</x:v>
      </x:c>
      <x:c r="D6" s="41" t="str">
        <x:v>The broken layout moves September into 2026/Q3. Recursive enumeration repairs the source-discovery contract before any business transformation is changed.</x:v>
      </x:c>
      <x:c r="E6" s="24" t="str">
        <x:v>Validated</x:v>
      </x:c>
    </x:row>
    <x:row r="7">
      <x:c r="A7" s="24" t="str">
        <x:v>A fuzzy supplier match resolves an unfamiliar vendor with a low similarity score. What evidence is required before accepting it?</x:v>
      </x:c>
      <x:c r="B7" s="41" t="str">
        <x:v>Do not auto-accept the fuzzy match. Inspect similarity, canonical candidates, country/context and the transformation table; keep uncertain records unmatched.</x:v>
      </x:c>
      <x:c r="C7" s="41" t="str">
        <x:v>The ground truth intentionally includes six unmatched rows.</x:v>
      </x:c>
      <x:c r="D7" s="41" t="str">
        <x:v>Fuzzy matching is probabilistic. A low-confidence match can create a false supplier identity and should not be promoted without stronger evidence.</x:v>
      </x:c>
      <x:c r="E7" s="24" t="str">
        <x:v>Validated</x:v>
      </x:c>
    </x:row>
    <x:row r="8">
      <x:c r="A8" s="24" t="str">
        <x:v>A step makes View Native Query unavailable. Does that prove every upstream step stopped folding?</x:v>
      </x:c>
      <x:c r="B8" s="41" t="str">
        <x:v>No. It proves the selected step/result no longer exposes a native-query view; it does not prove that every earlier step failed to fold.</x:v>
      </x:c>
      <x:c r="C8" s="41" t="str">
        <x:v>Folding is evaluated across the pipeline and can be partially preserved upstream.</x:v>
      </x:c>
      <x:c r="D8" s="41" t="str">
        <x:v>Use connector evidence, folding indicators/query plan where available, and diagnostics rather than treating one disabled menu item as a complete execution plan.</x:v>
      </x:c>
      <x:c r="E8" s="24" t="str">
        <x:v>Validated</x:v>
      </x:c>
    </x:row>
    <x:row r="9">
      <x:c r="A9" s="24" t="str">
        <x:v>A Table.Buffer branch runs slower. What conclusion can and cannot be made?</x:v>
      </x:c>
      <x:c r="B9" s="41" t="str">
        <x:v>Conclude only that this particular buffered execution was slower under the tested conditions.</x:v>
      </x:c>
      <x:c r="C9" s="41" t="str">
        <x:v>Correctness remains the same; timings are machine/source/cache dependent.</x:v>
      </x:c>
      <x:c r="D9" s="41" t="str">
        <x:v>Table.Buffer can force local materialization, prevent repeated evaluation in some patterns, or destroy useful folding. It is an optimization tool, not a speed command.</x:v>
      </x:c>
      <x:c r="E9" s="24" t="str">
        <x:v>Validated</x:v>
      </x:c>
    </x:row>
    <x:row r="10">
      <x:c r="A10" s="24" t="str">
        <x:v>Formula.Firewall appears while a file query references a SQL-derived list. What is the privacy risk and architectural repair?</x:v>
      </x:c>
      <x:c r="B10" s="41" t="str">
        <x:v>Treat the message as a privacy/query-partition problem, inspect which query/source boundary is being crossed, then restructure the combination and classify the sources correctly.</x:v>
      </x:c>
      <x:c r="C10" s="41" t="str">
        <x:v>Ignoring privacy would bypass isolation rather than explain the dependency.</x:v>
      </x:c>
      <x:c r="D10" s="41" t="str">
        <x:v>The repair must preserve source-isolation policy and then revalidate the business result.</x:v>
      </x:c>
      <x:c r="E10" s="24" t="str">
        <x:v>Validated</x:v>
      </x:c>
    </x:row>
    <x:row r="11">
      <x:c r="A11" s="24" t="str">
        <x:v>RangeStart and RangeEnd both use inclusive equality. What partition risk exists?</x:v>
      </x:c>
      <x:c r="B11" s="41" t="str">
        <x:v>Adjacent partitions can double-count rows that fall exactly on the shared boundary.</x:v>
      </x:c>
      <x:c r="C11" s="41" t="str">
        <x:v>The safe pattern is &gt;= RangeStart and &lt; RangeEnd (or the inverse inclusion pattern, but not inclusive on both ends).</x:v>
      </x:c>
      <x:c r="D11" s="41" t="str">
        <x:v>Module 3 proves the filter can fold; the actual Service incremental-refresh policy remains Module 8.</x:v>
      </x:c>
      <x:c r="E11" s="24" t="str">
        <x:v>Validated</x:v>
      </x:c>
    </x:row>
    <x:row r="12">
      <x:c r="A12" s="24" t="str">
        <x:v>The prepared tables look like dimensions and facts. Why should Module 3 stop before creating relationships?</x:v>
      </x:c>
      <x:c r="B12" s="41" t="str">
        <x:v>Stop at clean, typed, reusable preparation outputs.</x:v>
      </x:c>
      <x:c r="C12" s="41" t="str">
        <x:v>Module 3 owns the transformation layer; Module 4 owns semantic roles, relationship cardinality, filter direction, star-schema decisions and bridge design.</x:v>
      </x:c>
      <x:c r="D12" s="41" t="str">
        <x:v>Creating relationships now would collapse the course ownership boundary and teach model architecture before its dedicated reasoning layer.</x:v>
      </x:c>
      <x:c r="E12" s="24" t="str">
        <x:v>Validated</x:v>
      </x:c>
    </x:row>
  </x:sheetData>
  <x:mergeCells>
    <x:mergeCell ref="A1:E1"/>
  </x:mergeCells>
  <x:conditionalFormatting sqref="E4:E12">
    <x:cfRule type="expression" dxfId="75" priority="1">
      <x:formula>E4="Validated"</x:formula>
    </x:cfRule>
    <x:cfRule type="expression" dxfId="76" priority="2">
      <x:formula>E4="Needs Review"</x:formula>
    </x:cfRule>
    <x:cfRule type="expression" dxfId="77" priority="3">
      <x:formula>E4="In Progress"</x:formula>
    </x:cfRule>
  </x:conditionalFormatting>
  <x:dataValidations count="1">
    <x:dataValidation type="list" sqref="E4:E12">
      <x:formula1>"Not Started,In Progress,Validated,Needs Review"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2" hidden="0" customWidth="1"/>
    <x:col min="3" max="3" width="18" hidden="0" customWidth="1"/>
    <x:col min="4" max="4" width="44" hidden="0" customWidth="1"/>
    <x:col min="5" max="5" width="4" hidden="0" customWidth="1"/>
    <x:col min="6" max="6" width="28" hidden="0" customWidth="1"/>
    <x:col min="7" max="7" width="18" hidden="0" customWidth="1"/>
  </x:cols>
  <x:sheetData>
    <x:row r="1" ht="26" customHeight="1">
      <x:c r="A1" s="6" t="str">
        <x:v>Module Three Stage Validation Tracker</x:v>
      </x:c>
      <x:c r="B1" s="6"/>
      <x:c r="C1" s="6"/>
      <x:c r="D1" s="6"/>
      <x:c r="E1" s="6"/>
      <x:c r="F1" s="6"/>
      <x:c r="G1" s="6"/>
    </x:row>
    <x:row r="3" ht="30" customHeight="1">
      <x:c r="A3" s="16" t="str">
        <x:v>Checkpoint</x:v>
      </x:c>
      <x:c r="B3" s="16" t="str">
        <x:v>EvidenceRequired</x:v>
      </x:c>
      <x:c r="C3" s="16" t="str">
        <x:v>LearnerStatus</x:v>
      </x:c>
      <x:c r="D3" s="16" t="str">
        <x:v>Notes</x:v>
      </x:c>
      <x:c r="E3" s="16" t="str"/>
      <x:c r="F3" s="16" t="str">
        <x:v>Progress Summary</x:v>
      </x:c>
      <x:c r="G3" s="16" t="str">
        <x:v>Value</x:v>
      </x:c>
    </x:row>
    <x:row r="4">
      <x:c r="A4" s="24" t="str">
        <x:v>Stage Validation 1 — Environment &amp; Source Fingerprint</x:v>
      </x:c>
      <x:c r="B4" s="24" t="str">
        <x:v>Environment, versions, source paths/counts/fingerprints</x:v>
      </x:c>
      <x:c r="C4" s="24" t="str">
        <x:v>Validated</x:v>
      </x:c>
      <x:c r="D4" s="24" t="str">
        <x:v>Environment, inherited SQL counts, source inventory and 31 source fingerprints reconciled.</x:v>
      </x:c>
      <x:c r="E4" s="24" t="str"/>
      <x:c r="F4" s="32" t="str">
        <x:v>Validated checkpoints</x:v>
      </x:c>
      <x:c r="G4" s="38" t="n">
        <x:f>COUNTIF(C4:C13,"Validated")</x:f>
        <x:v>10</x:v>
      </x:c>
    </x:row>
    <x:row r="5">
      <x:c r="A5" s="24" t="str">
        <x:v>Stage Validation 2 — Profiling &amp; Types</x:v>
      </x:c>
      <x:c r="B5" s="24" t="str">
        <x:v>Entire-dataset profiling, types and locale decisions reconcile</x:v>
      </x:c>
      <x:c r="C5" s="24" t="str">
        <x:v>Validated</x:v>
      </x:c>
      <x:c r="D5" s="24" t="str">
        <x:v>Entire-dataset profiling and locale/type decisions reconciled, including intentional errors.</x:v>
      </x:c>
      <x:c r="E5" s="24" t="str"/>
      <x:c r="F5" s="32" t="str">
        <x:v>Total checkpoints</x:v>
      </x:c>
      <x:c r="G5" s="38" t="n">
        <x:v>10</x:v>
      </x:c>
    </x:row>
    <x:row r="6">
      <x:c r="A6" s="24" t="str">
        <x:v>Stage Validation 3 — Cleaning &amp; Column Operations</x:v>
      </x:c>
      <x:c r="B6" s="24" t="str">
        <x:v>Meaning-preserving cleaning, error/null/duplicate and derived-column evidence</x:v>
      </x:c>
      <x:c r="C6" s="24" t="str">
        <x:v>Validated</x:v>
      </x:c>
      <x:c r="D6" s="24" t="str">
        <x:v>23 prepared maintenance rows and 3 audit rows reconcile; cleaning/column-operation evidence recorded.</x:v>
      </x:c>
      <x:c r="E6" s="24" t="str"/>
      <x:c r="F6" s="32" t="str">
        <x:v>Completion %</x:v>
      </x:c>
      <x:c r="G6" s="39" t="n">
        <x:f>IF(G5=0,0,G4/G5)</x:f>
        <x:v>1</x:v>
      </x:c>
    </x:row>
    <x:row r="7">
      <x:c r="A7" s="24" t="str">
        <x:v>Stage Validation 4 — Reshaping &amp; Combining</x:v>
      </x:c>
      <x:c r="B7" s="24" t="str">
        <x:v>Pivot/unpivot/append/all joins/fuzzy reconciliation</x:v>
      </x:c>
      <x:c r="C7" s="24" t="str">
        <x:v>Validated</x:v>
      </x:c>
      <x:c r="D7" s="24" t="str">
        <x:v>Targets, append, all six joins and supplier exact/transformation/fuzzy/unmatched outcomes reconcile.</x:v>
      </x:c>
      <x:c r="E7" s="24" t="str"/>
      <x:c r="F7" s="24" t="str"/>
      <x:c r="G7" s="24" t="str"/>
    </x:row>
    <x:row r="8">
      <x:c r="A8" s="24" t="str">
        <x:v>Stage Validation 5 — Folder, JSON/XML &amp; API</x:v>
      </x:c>
      <x:c r="B8" s="24" t="str">
        <x:v>Helper chain, nested parsing and 28-row pagination reconcile</x:v>
      </x:c>
      <x:c r="C8" s="24" t="str">
        <x:v>Validated</x:v>
      </x:c>
      <x:c r="D8" s="24" t="str">
        <x:v>1,012 folder rows, nested JSON/XML structures, payload parse status and 28 API rows reconcile.</x:v>
      </x:c>
      <x:c r="E8" s="24" t="str"/>
      <x:c r="F8" s="24" t="str"/>
      <x:c r="G8" s="24" t="str"/>
    </x:row>
    <x:row r="9">
      <x:c r="A9" s="24" t="str">
        <x:v>Stage Validation 6 — Reuse &amp; M</x:v>
      </x:c>
      <x:c r="B9" s="24" t="str">
        <x:v>Reference/duplicate, parameters, functions and M concepts explained</x:v>
      </x:c>
      <x:c r="C9" s="24" t="str">
        <x:v>Validated</x:v>
      </x:c>
      <x:c r="D9" s="24" t="str">
        <x:v>Parameters, staging/reference design, custom functions and core M constructs demonstrated and documented.</x:v>
      </x:c>
      <x:c r="E9" s="24" t="str"/>
      <x:c r="F9" s="24" t="str"/>
      <x:c r="G9" s="24" t="str"/>
    </x:row>
    <x:row r="10">
      <x:c r="A10" s="24" t="str">
        <x:v>Stage Validation 7 — Folding &amp; Performance</x:v>
      </x:c>
      <x:c r="B10" s="24" t="str">
        <x:v>Folded/unfolded/native branches return equivalent business results</x:v>
      </x:c>
      <x:c r="C10" s="24" t="str">
        <x:v>Validated</x:v>
      </x:c>
      <x:c r="D10" s="24" t="str">
        <x:v>Folded/unfolded/native/buffered branches return the same Q3 business result; execution placement differs.</x:v>
      </x:c>
      <x:c r="E10" s="24" t="str"/>
      <x:c r="F10" s="24" t="str"/>
      <x:c r="G10" s="24" t="str"/>
    </x:row>
    <x:row r="11">
      <x:c r="A11" s="24" t="str">
        <x:v>Stage Validation 8 — Resilience &amp; Privacy</x:v>
      </x:c>
      <x:c r="B11" s="24" t="str">
        <x:v>Five broken variants recovered and privacy/firewall evidence recorded</x:v>
      </x:c>
      <x:c r="C11" s="24" t="str">
        <x:v>Validated</x:v>
      </x:c>
      <x:c r="D11" s="24" t="str">
        <x:v>All five controlled schema-drift variants diagnosed/repaired; privacy/Formula.Firewall handled without disabling protections.</x:v>
      </x:c>
      <x:c r="E11" s="24" t="str"/>
      <x:c r="F11" s="24" t="str"/>
      <x:c r="G11" s="24" t="str"/>
    </x:row>
    <x:row r="12">
      <x:c r="A12" s="24" t="str">
        <x:v>Stage Validation 9 — Incremental-Refresh Preparation</x:v>
      </x:c>
      <x:c r="B12" s="24" t="str">
        <x:v>&gt;= RangeStart and &lt; RangeEnd fold to SQL; no Service policy configured</x:v>
      </x:c>
      <x:c r="C12" s="24" t="str">
        <x:v>Validated</x:v>
      </x:c>
      <x:c r="D12" s="24" t="str">
        <x:v>RangeStart/RangeEnd predicates reconcile to 97,152 rows and the frozen SQL totals; folding evidence captured.</x:v>
      </x:c>
      <x:c r="E12" s="24" t="str"/>
      <x:c r="F12" s="24" t="str"/>
      <x:c r="G12" s="24" t="str"/>
    </x:row>
    <x:row r="13">
      <x:c r="A13" s="24" t="str">
        <x:v>Stage Validation 10 — Final Prepared State</x:v>
      </x:c>
      <x:c r="B13" s="24" t="str">
        <x:v>Prepared outputs, query groups, load settings and validation all reconcile</x:v>
      </x:c>
      <x:c r="C13" s="24" t="str">
        <x:v>Validated</x:v>
      </x:c>
      <x:c r="D13" s="24" t="str">
        <x:v>Prepared outputs, load/refresh decisions and final validation all reconcile; temporary lab branches are isolated.</x:v>
      </x:c>
      <x:c r="E13" s="24" t="str"/>
      <x:c r="F13" s="24" t="str"/>
      <x:c r="G13" s="24" t="str"/>
    </x:row>
  </x:sheetData>
  <x:mergeCells>
    <x:mergeCell ref="A1:G1"/>
  </x:mergeCells>
  <x:conditionalFormatting sqref="C4:C13">
    <x:cfRule type="expression" dxfId="78" priority="1">
      <x:formula>C4="Validated"</x:formula>
    </x:cfRule>
    <x:cfRule type="expression" dxfId="79" priority="2">
      <x:formula>C4="Needs Review"</x:formula>
    </x:cfRule>
    <x:cfRule type="expression" dxfId="80" priority="3">
      <x:formula>C4="In Progress"</x:formula>
    </x:cfRule>
  </x:conditionalFormatting>
  <x:dataValidations count="1">
    <x:dataValidation type="list" sqref="C4:C13">
      <x:formula1>"Not Started,In Progress,Validated,Needs Review"</x:formula1>
    </x:dataValidation>
  </x:dataValidations>
  <x:pageMargins left="0.7" right="0.7" top="0.75" bottom="0.75" header="0.3" footer="0.3"/>
</x:worksheet>
</file>
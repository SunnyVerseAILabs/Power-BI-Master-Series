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917f1f8a5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e9eca6a1add4cc1"/>
    <x:sheet xmlns:r="http://schemas.openxmlformats.org/officeDocument/2006/relationships" name="Environment_Check" sheetId="2" r:id="R9a3391be70b44b83"/>
    <x:sheet xmlns:r="http://schemas.openxmlformats.org/officeDocument/2006/relationships" name="Source_Inventory" sheetId="3" r:id="R60357eb2e9974f5e"/>
    <x:sheet xmlns:r="http://schemas.openxmlformats.org/officeDocument/2006/relationships" name="Query_Architecture" sheetId="4" r:id="Ra6464a283f064ea6"/>
    <x:sheet xmlns:r="http://schemas.openxmlformats.org/officeDocument/2006/relationships" name="Profiling_Evidence" sheetId="5" r:id="R8a3e46af34dd47e3"/>
    <x:sheet xmlns:r="http://schemas.openxmlformats.org/officeDocument/2006/relationships" name="Type_Locale_Lab" sheetId="6" r:id="R940888617edd46c4"/>
    <x:sheet xmlns:r="http://schemas.openxmlformats.org/officeDocument/2006/relationships" name="Cleaning_Audit" sheetId="7" r:id="R48b2fc1ba8eb4612"/>
    <x:sheet xmlns:r="http://schemas.openxmlformats.org/officeDocument/2006/relationships" name="Row_Operations" sheetId="8" r:id="Rb39802b2d40a47e7"/>
    <x:sheet xmlns:r="http://schemas.openxmlformats.org/officeDocument/2006/relationships" name="Column_Operations" sheetId="9" r:id="R3d8e0b4ff3e6496a"/>
    <x:sheet xmlns:r="http://schemas.openxmlformats.org/officeDocument/2006/relationships" name="Reshape_Pivot_Unpivot" sheetId="10" r:id="R60d7977a36784f46"/>
    <x:sheet xmlns:r="http://schemas.openxmlformats.org/officeDocument/2006/relationships" name="Join_Reconciliation" sheetId="11" r:id="Ree09135f9d2841a7"/>
    <x:sheet xmlns:r="http://schemas.openxmlformats.org/officeDocument/2006/relationships" name="Supplier_Matching" sheetId="12" r:id="R3ec79cb03c8c4f55"/>
    <x:sheet xmlns:r="http://schemas.openxmlformats.org/officeDocument/2006/relationships" name="Folder_Combine" sheetId="13" r:id="Rd738278a4aa54935"/>
    <x:sheet xmlns:r="http://schemas.openxmlformats.org/officeDocument/2006/relationships" name="Nested_JSON_XML" sheetId="14" r:id="R5647a26ab82546b1"/>
    <x:sheet xmlns:r="http://schemas.openxmlformats.org/officeDocument/2006/relationships" name="Payload_Parsing" sheetId="15" r:id="Rb75412bb421e4b6f"/>
    <x:sheet xmlns:r="http://schemas.openxmlformats.org/officeDocument/2006/relationships" name="API_Pagination" sheetId="16" r:id="Rbb3b9ae318c34b79"/>
    <x:sheet xmlns:r="http://schemas.openxmlformats.org/officeDocument/2006/relationships" name="Parameters_Functions" sheetId="17" r:id="Rb3efe49ab1a04b87"/>
    <x:sheet xmlns:r="http://schemas.openxmlformats.org/officeDocument/2006/relationships" name="M_Language_Lab" sheetId="18" r:id="R6a3f64e2fb144ca9"/>
    <x:sheet xmlns:r="http://schemas.openxmlformats.org/officeDocument/2006/relationships" name="Folding_Performance" sheetId="19" r:id="R40c415d5941a46c4"/>
    <x:sheet xmlns:r="http://schemas.openxmlformats.org/officeDocument/2006/relationships" name="Query_Diagnostics" sheetId="20" r:id="R296fa34481e647cd"/>
    <x:sheet xmlns:r="http://schemas.openxmlformats.org/officeDocument/2006/relationships" name="RangeStart_RangeEnd" sheetId="21" r:id="R0c7c9b65e30c4ddf"/>
    <x:sheet xmlns:r="http://schemas.openxmlformats.org/officeDocument/2006/relationships" name="Schema_Drift_Recovery" sheetId="22" r:id="R39565a1b047c4088"/>
    <x:sheet xmlns:r="http://schemas.openxmlformats.org/officeDocument/2006/relationships" name="Privacy_Firewall" sheetId="23" r:id="Rfd7a72656a364898"/>
    <x:sheet xmlns:r="http://schemas.openxmlformats.org/officeDocument/2006/relationships" name="Date_Time_Build" sheetId="24" r:id="R950c4e41ffe54d3a"/>
    <x:sheet xmlns:r="http://schemas.openxmlformats.org/officeDocument/2006/relationships" name="Load_Refresh_Settings" sheetId="25" r:id="R8c0a1b52e0814e95"/>
    <x:sheet xmlns:r="http://schemas.openxmlformats.org/officeDocument/2006/relationships" name="Final_Validation" sheetId="26" r:id="Ra0da7b9cff8043b1"/>
    <x:sheet xmlns:r="http://schemas.openxmlformats.org/officeDocument/2006/relationships" name="Analytical_Challenge" sheetId="27" r:id="Rb09a215445d046d0"/>
    <x:sheet xmlns:r="http://schemas.openxmlformats.org/officeDocument/2006/relationships" name="Checkpoint_Tracker" sheetId="28" r:id="Ra05cb74d5250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200" fontId="2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1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0468be02948bb" /><Relationship Type="http://schemas.openxmlformats.org/officeDocument/2006/relationships/theme" Target="/xl/theme/theme1.xml" Id="R9abce83b9ace4fb1" /><Relationship Type="http://schemas.openxmlformats.org/officeDocument/2006/relationships/sharedStrings" Target="/xl/sharedStrings.xml" Id="R11398f4ae3cd4f85" /><Relationship Type="http://schemas.openxmlformats.org/officeDocument/2006/relationships/worksheet" Target="/xl/worksheets/sheet1.xml" Id="Rce9eca6a1add4cc1" /><Relationship Type="http://schemas.openxmlformats.org/officeDocument/2006/relationships/worksheet" Target="/xl/worksheets/sheet2.xml" Id="R9a3391be70b44b83" /><Relationship Type="http://schemas.openxmlformats.org/officeDocument/2006/relationships/worksheet" Target="/xl/worksheets/sheet3.xml" Id="R60357eb2e9974f5e" /><Relationship Type="http://schemas.openxmlformats.org/officeDocument/2006/relationships/worksheet" Target="/xl/worksheets/sheet4.xml" Id="Ra6464a283f064ea6" /><Relationship Type="http://schemas.openxmlformats.org/officeDocument/2006/relationships/worksheet" Target="/xl/worksheets/sheet5.xml" Id="R8a3e46af34dd47e3" /><Relationship Type="http://schemas.openxmlformats.org/officeDocument/2006/relationships/worksheet" Target="/xl/worksheets/sheet6.xml" Id="R940888617edd46c4" /><Relationship Type="http://schemas.openxmlformats.org/officeDocument/2006/relationships/worksheet" Target="/xl/worksheets/sheet7.xml" Id="R48b2fc1ba8eb4612" /><Relationship Type="http://schemas.openxmlformats.org/officeDocument/2006/relationships/worksheet" Target="/xl/worksheets/sheet8.xml" Id="Rb39802b2d40a47e7" /><Relationship Type="http://schemas.openxmlformats.org/officeDocument/2006/relationships/worksheet" Target="/xl/worksheets/sheet9.xml" Id="R3d8e0b4ff3e6496a" /><Relationship Type="http://schemas.openxmlformats.org/officeDocument/2006/relationships/worksheet" Target="/xl/worksheets/sheet10.xml" Id="R60d7977a36784f46" /><Relationship Type="http://schemas.openxmlformats.org/officeDocument/2006/relationships/worksheet" Target="/xl/worksheets/sheet11.xml" Id="Ree09135f9d2841a7" /><Relationship Type="http://schemas.openxmlformats.org/officeDocument/2006/relationships/worksheet" Target="/xl/worksheets/sheet12.xml" Id="R3ec79cb03c8c4f55" /><Relationship Type="http://schemas.openxmlformats.org/officeDocument/2006/relationships/worksheet" Target="/xl/worksheets/sheet13.xml" Id="Rd738278a4aa54935" /><Relationship Type="http://schemas.openxmlformats.org/officeDocument/2006/relationships/worksheet" Target="/xl/worksheets/sheet14.xml" Id="R5647a26ab82546b1" /><Relationship Type="http://schemas.openxmlformats.org/officeDocument/2006/relationships/worksheet" Target="/xl/worksheets/sheet15.xml" Id="Rb75412bb421e4b6f" /><Relationship Type="http://schemas.openxmlformats.org/officeDocument/2006/relationships/worksheet" Target="/xl/worksheets/sheet16.xml" Id="Rbb3b9ae318c34b79" /><Relationship Type="http://schemas.openxmlformats.org/officeDocument/2006/relationships/worksheet" Target="/xl/worksheets/sheet17.xml" Id="Rb3efe49ab1a04b87" /><Relationship Type="http://schemas.openxmlformats.org/officeDocument/2006/relationships/worksheet" Target="/xl/worksheets/sheet18.xml" Id="R6a3f64e2fb144ca9" /><Relationship Type="http://schemas.openxmlformats.org/officeDocument/2006/relationships/worksheet" Target="/xl/worksheets/sheet19.xml" Id="R40c415d5941a46c4" /><Relationship Type="http://schemas.openxmlformats.org/officeDocument/2006/relationships/worksheet" Target="/xl/worksheets/sheet20.xml" Id="R296fa34481e647cd" /><Relationship Type="http://schemas.openxmlformats.org/officeDocument/2006/relationships/worksheet" Target="/xl/worksheets/sheet21.xml" Id="R0c7c9b65e30c4ddf" /><Relationship Type="http://schemas.openxmlformats.org/officeDocument/2006/relationships/worksheet" Target="/xl/worksheets/sheet22.xml" Id="R39565a1b047c4088" /><Relationship Type="http://schemas.openxmlformats.org/officeDocument/2006/relationships/worksheet" Target="/xl/worksheets/sheet23.xml" Id="Rfd7a72656a364898" /><Relationship Type="http://schemas.openxmlformats.org/officeDocument/2006/relationships/worksheet" Target="/xl/worksheets/sheet24.xml" Id="R950c4e41ffe54d3a" /><Relationship Type="http://schemas.openxmlformats.org/officeDocument/2006/relationships/worksheet" Target="/xl/worksheets/sheet25.xml" Id="R8c0a1b52e0814e95" /><Relationship Type="http://schemas.openxmlformats.org/officeDocument/2006/relationships/worksheet" Target="/xl/worksheets/sheet26.xml" Id="Ra0da7b9cff8043b1" /><Relationship Type="http://schemas.openxmlformats.org/officeDocument/2006/relationships/worksheet" Target="/xl/worksheets/sheet27.xml" Id="Rb09a215445d046d0" /><Relationship Type="http://schemas.openxmlformats.org/officeDocument/2006/relationships/worksheet" Target="/xl/worksheets/sheet28.xml" Id="Ra05cb74d5250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26" customHeight="1">
      <x:c r="A1" s="6" t="str">
        <x:v>SunnyVerse Renewable Group — Module 3 Data Preparation Practice Workbook</x:v>
      </x:c>
      <x:c r="B1" s="6"/>
    </x:row>
    <x:row r="3" ht="30" customHeight="1">
      <x:c r="A3" s="16" t="str">
        <x:v>Item</x:v>
      </x:c>
      <x:c r="B3" s="16" t="str">
        <x:v>Guidance</x:v>
      </x:c>
    </x:row>
    <x:row r="4">
      <x:c r="A4" s="24" t="str">
        <x:v>Purpose</x:v>
      </x:c>
      <x:c r="B4" s="24" t="str">
        <x:v>Record evidence while following 01_Module_03_Detailed_Build_Guide.docx.</x:v>
      </x:c>
    </x:row>
    <x:row r="5">
      <x:c r="A5" s="24" t="str">
        <x:v>Primary question</x:v>
      </x:c>
      <x:c r="B5" s="24" t="str">
        <x:v>How do you turn connected source data into an explicit, repeatable, inspectable, testable and recoverable preparation pipeline?</x:v>
      </x:c>
    </x:row>
    <x:row r="6">
      <x:c r="A6" s="24" t="str">
        <x:v>Primary PBIX</x:v>
      </x:c>
      <x:c r="B6" s="24" t="str">
        <x:v>Module_03_Data_Preparation_Lab.pbix</x:v>
      </x:c>
    </x:row>
    <x:row r="7">
      <x:c r="A7" s="24" t="str">
        <x:v>Performance PBIX</x:v>
      </x:c>
      <x:c r="B7" s="24" t="str">
        <x:v>Module_03_Folding_Performance_Lab.pbix</x:v>
      </x:c>
    </x:row>
    <x:row r="8">
      <x:c r="A8" s="24" t="str">
        <x:v>Database</x:v>
      </x:c>
      <x:c r="B8" s="24" t="str">
        <x:v>SunnyVerseRenewableGroup</x:v>
      </x:c>
    </x:row>
    <x:row r="9">
      <x:c r="A9" s="24" t="str">
        <x:v>SQL performance source</x:v>
      </x:c>
      <x:c r="B9" s="24" t="str">
        <x:v>dbo.IntervalGeneration — 500,000 rows</x:v>
      </x:c>
    </x:row>
    <x:row r="10">
      <x:c r="A10" s="24" t="str">
        <x:v>Folder baseline</x:v>
      </x:c>
      <x:c r="B10" s="24" t="str">
        <x:v>3 monthly generation CSV files — 1,012 rows total</x:v>
      </x:c>
    </x:row>
    <x:row r="11">
      <x:c r="A11" s="24" t="str">
        <x:v>API baseline</x:v>
      </x:c>
      <x:c r="B11" s="24" t="str">
        <x:v>4 deterministic pages × 7 rows = 28 operations</x:v>
      </x:c>
    </x:row>
    <x:row r="12">
      <x:c r="A12" s="24" t="str">
        <x:v>Validation rule</x:v>
      </x:c>
      <x:c r="B12" s="24" t="str">
        <x:v>A transformation completing without an error is not proof that the result is correct.</x:v>
      </x:c>
    </x:row>
    <x:row r="13">
      <x:c r="A13" s="24" t="str">
        <x:v>Controlled failure rule</x:v>
      </x:c>
      <x:c r="B13" s="24" t="str">
        <x:v>Build → Observe → Inspect → Validate → Break → Diagnose → Repair → Revalidate</x:v>
      </x:c>
    </x:row>
    <x:row r="14">
      <x:c r="A14" s="24" t="str">
        <x:v>Cloud requirement</x:v>
      </x:c>
      <x:c r="B14" s="24" t="str">
        <x:v>No account or Fabric trial is required for the mandatory path.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54" hidden="0" customWidth="1"/>
    <x:col min="4" max="4" width="44" hidden="0" customWidth="1"/>
    <x:col min="5" max="5" width="18" hidden="0" customWidth="1"/>
  </x:cols>
  <x:sheetData>
    <x:row r="1" ht="26" customHeight="1">
      <x:c r="A1" s="6" t="str">
        <x:v>Environment, Versions and Frozen Source Baseline</x:v>
      </x:c>
      <x:c r="B1" s="6"/>
      <x:c r="C1" s="6"/>
      <x:c r="D1" s="6"/>
      <x:c r="E1" s="6"/>
    </x:row>
    <x:row r="3" ht="30" customHeight="1">
      <x:c r="A3" s="16" t="str">
        <x:v>Item</x:v>
      </x:c>
      <x:c r="B3" s="16" t="str">
        <x:v>LearnerValue</x:v>
      </x:c>
      <x:c r="C3" s="16" t="str">
        <x:v>Expected/Guidance</x:v>
      </x:c>
      <x:c r="D3" s="16" t="str">
        <x:v>Evidence/Note</x:v>
      </x:c>
      <x:c r="E3" s="16" t="str">
        <x:v>Status</x:v>
      </x:c>
    </x:row>
    <x:row r="4">
      <x:c r="A4" s="24" t="str">
        <x:v>Power BI Desktop version</x:v>
      </x:c>
      <x:c r="B4" s="24" t="str"/>
      <x:c r="C4" s="24" t="str">
        <x:v>Record exact installed build</x:v>
      </x:c>
      <x:c r="D4" s="24" t="str"/>
      <x:c r="E4" s="24" t="str">
        <x:v>Not Started</x:v>
      </x:c>
    </x:row>
    <x:row r="5">
      <x:c r="A5" s="24" t="str">
        <x:v>Power Query Editor opens</x:v>
      </x:c>
      <x:c r="B5" s="24" t="str"/>
      <x:c r="C5" s="24" t="str">
        <x:v>Transform data opens the editor</x:v>
      </x:c>
      <x:c r="D5" s="24" t="str"/>
      <x:c r="E5" s="24" t="str">
        <x:v>Not Started</x:v>
      </x:c>
    </x:row>
    <x:row r="6">
      <x:c r="A6" s="24" t="str">
        <x:v>SQL Server service</x:v>
      </x:c>
      <x:c r="B6" s="24" t="str"/>
      <x:c r="C6" s="24" t="str">
        <x:v>Expected Running for required path</x:v>
      </x:c>
      <x:c r="D6" s="24" t="str"/>
      <x:c r="E6" s="24" t="str">
        <x:v>Not Started</x:v>
      </x:c>
    </x:row>
    <x:row r="7">
      <x:c r="A7" s="24" t="str">
        <x:v>SQL endpoint</x:v>
      </x:c>
      <x:c r="B7" s="24" t="str"/>
      <x:c r="C7" s="24" t="str">
        <x:v>Standard course path = localhost</x:v>
      </x:c>
      <x:c r="D7" s="24" t="str"/>
      <x:c r="E7" s="24" t="str">
        <x:v>Not Started</x:v>
      </x:c>
    </x:row>
    <x:row r="8">
      <x:c r="A8" s="24" t="str">
        <x:v>Database</x:v>
      </x:c>
      <x:c r="B8" s="24" t="str"/>
      <x:c r="C8" s="24" t="str">
        <x:v>SunnyVerseRenewableGroup</x:v>
      </x:c>
      <x:c r="D8" s="24" t="str"/>
      <x:c r="E8" s="24" t="str">
        <x:v>Not Started</x:v>
      </x:c>
    </x:row>
    <x:row r="9">
      <x:c r="A9" s="24" t="str">
        <x:v>Regions row count</x:v>
      </x:c>
      <x:c r="B9" s="24" t="str"/>
      <x:c r="C9" s="24" t="str">
        <x:v>4</x:v>
      </x:c>
      <x:c r="D9" s="24" t="str"/>
      <x:c r="E9" s="24" t="str">
        <x:v>Not Started</x:v>
      </x:c>
    </x:row>
    <x:row r="10">
      <x:c r="A10" s="24" t="str">
        <x:v>Technologies row count</x:v>
      </x:c>
      <x:c r="B10" s="24" t="str"/>
      <x:c r="C10" s="24" t="str">
        <x:v>9</x:v>
      </x:c>
      <x:c r="D10" s="24" t="str"/>
      <x:c r="E10" s="24" t="str">
        <x:v>Not Started</x:v>
      </x:c>
    </x:row>
    <x:row r="11">
      <x:c r="A11" s="24" t="str">
        <x:v>Plants row count</x:v>
      </x:c>
      <x:c r="B11" s="24" t="str"/>
      <x:c r="C11" s="24" t="str">
        <x:v>12</x:v>
      </x:c>
      <x:c r="D11" s="24" t="str"/>
      <x:c r="E11" s="24" t="str">
        <x:v>Not Started</x:v>
      </x:c>
    </x:row>
    <x:row r="12">
      <x:c r="A12" s="24" t="str">
        <x:v>IntervalGeneration row count</x:v>
      </x:c>
      <x:c r="B12" s="24" t="str"/>
      <x:c r="C12" s="24" t="str">
        <x:v>500000</x:v>
      </x:c>
      <x:c r="D12" s="24" t="str"/>
      <x:c r="E12" s="24" t="str">
        <x:v>Not Started</x:v>
      </x:c>
    </x:row>
    <x:row r="13">
      <x:c r="A13" s="24" t="str">
        <x:v>BatteryStorageInterval row count</x:v>
      </x:c>
      <x:c r="B13" s="24" t="str"/>
      <x:c r="C13" s="24" t="str">
        <x:v>50000</x:v>
      </x:c>
      <x:c r="D13" s="24" t="str"/>
      <x:c r="E13" s="24" t="str">
        <x:v>Not Started</x:v>
      </x:c>
    </x:row>
    <x:row r="14">
      <x:c r="A14" s="24" t="str">
        <x:v>Source_Files working root</x:v>
      </x:c>
      <x:c r="B14" s="24" t="str"/>
      <x:c r="C14" s="24" t="str">
        <x:v>Record writable working-copy path</x:v>
      </x:c>
      <x:c r="D14" s="24" t="str"/>
      <x:c r="E14" s="24" t="str">
        <x:v>Not Started</x:v>
      </x:c>
    </x:row>
    <x:row r="15">
      <x:c r="A15" s="24" t="str">
        <x:v>Source fingerprints checked</x:v>
      </x:c>
      <x:c r="B15" s="24" t="str"/>
      <x:c r="C15" s="24" t="str">
        <x:v>Use Validation/Source_File_SHA256.csv when instructed</x:v>
      </x:c>
      <x:c r="D15" s="24" t="str"/>
      <x:c r="E15" s="24" t="str">
        <x:v>Not Started</x:v>
      </x:c>
    </x:row>
    <x:row r="16">
      <x:c r="A16" s="24" t="str">
        <x:v>API path mode</x:v>
      </x:c>
      <x:c r="B16" s="24" t="str"/>
      <x:c r="C16" s="24" t="str">
        <x:v>Local deterministic pages are mandatory fallback; record live Web endpoint if published</x:v>
      </x:c>
      <x:c r="D16" s="24" t="str"/>
      <x:c r="E16" s="24" t="str">
        <x:v>Not Started</x:v>
      </x:c>
    </x:row>
  </x:sheetData>
  <x:mergeCells>
    <x:mergeCell ref="A1:E1"/>
  </x:mergeCells>
  <x:conditionalFormatting sqref="E4:E16">
    <x:cfRule type="expression" dxfId="0" priority="1">
      <x:formula>E4="Validated"</x:formula>
    </x:cfRule>
    <x:cfRule type="expression" dxfId="1" priority="2">
      <x:formula>E4="Needs Review"</x:formula>
    </x:cfRule>
    <x:cfRule type="expression" dxfId="2" priority="3">
      <x:formula>E4="In Progress"</x:formula>
    </x:cfRule>
  </x:conditionalFormatting>
  <x:dataValidations count="1">
    <x:dataValidation type="list" sqref="E4:E16">
      <x:formula1>"Not Started,In Progress,Validated,Needs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24" hidden="0" customWidth="1"/>
    <x:col min="5" max="5" width="52" hidden="0" customWidth="1"/>
    <x:col min="6" max="6" width="18" hidden="0" customWidth="1"/>
  </x:cols>
  <x:sheetData>
    <x:row r="1" ht="26" customHeight="1">
      <x:c r="A1" s="6" t="str">
        <x:v>Frozen Source Inventory</x:v>
      </x:c>
      <x:c r="B1" s="6"/>
      <x:c r="C1" s="6"/>
      <x:c r="D1" s="6"/>
      <x:c r="E1" s="6"/>
      <x:c r="F1" s="6"/>
    </x:row>
    <x:row r="3" ht="30" customHeight="1">
      <x:c r="A3" s="16" t="str">
        <x:v>Area</x:v>
      </x:c>
      <x:c r="B3" s="16" t="str">
        <x:v>File/Object</x:v>
      </x:c>
      <x:c r="C3" s="16" t="str">
        <x:v>Expected Shape</x:v>
      </x:c>
      <x:c r="D3" s="16" t="str">
        <x:v>LearnerObserved</x:v>
      </x:c>
      <x:c r="E3" s="16" t="str">
        <x:v>Fingerprint/Note</x:v>
      </x:c>
      <x:c r="F3" s="16" t="str">
        <x:v>Status</x:v>
      </x:c>
    </x:row>
    <x:row r="4">
      <x:c r="A4" s="24" t="str">
        <x:v>SQL</x:v>
      </x:c>
      <x:c r="B4" s="24" t="str">
        <x:v>dbo.Regions</x:v>
      </x:c>
      <x:c r="C4" s="24" t="str">
        <x:v>4 rows</x:v>
      </x:c>
      <x:c r="D4" s="24" t="str"/>
      <x:c r="E4" s="24" t="str"/>
      <x:c r="F4" s="24" t="str">
        <x:v>Not Started</x:v>
      </x:c>
    </x:row>
    <x:row r="5">
      <x:c r="A5" s="24" t="str">
        <x:v>SQL</x:v>
      </x:c>
      <x:c r="B5" s="24" t="str">
        <x:v>dbo.Technologies</x:v>
      </x:c>
      <x:c r="C5" s="24" t="str">
        <x:v>9 rows</x:v>
      </x:c>
      <x:c r="D5" s="24" t="str"/>
      <x:c r="E5" s="24" t="str"/>
      <x:c r="F5" s="24" t="str">
        <x:v>Not Started</x:v>
      </x:c>
    </x:row>
    <x:row r="6">
      <x:c r="A6" s="24" t="str">
        <x:v>SQL</x:v>
      </x:c>
      <x:c r="B6" s="24" t="str">
        <x:v>dbo.Plants</x:v>
      </x:c>
      <x:c r="C6" s="24" t="str">
        <x:v>12 rows</x:v>
      </x:c>
      <x:c r="D6" s="24" t="str"/>
      <x:c r="E6" s="24" t="str"/>
      <x:c r="F6" s="24" t="str">
        <x:v>Not Started</x:v>
      </x:c>
    </x:row>
    <x:row r="7">
      <x:c r="A7" s="24" t="str">
        <x:v>SQL</x:v>
      </x:c>
      <x:c r="B7" s="24" t="str">
        <x:v>dbo.IntervalGeneration</x:v>
      </x:c>
      <x:c r="C7" s="24" t="str">
        <x:v>500000 rows</x:v>
      </x:c>
      <x:c r="D7" s="24" t="str"/>
      <x:c r="E7" s="24" t="str"/>
      <x:c r="F7" s="24" t="str">
        <x:v>Not Started</x:v>
      </x:c>
    </x:row>
    <x:row r="8">
      <x:c r="A8" s="24" t="str">
        <x:v>SQL</x:v>
      </x:c>
      <x:c r="B8" s="24" t="str">
        <x:v>dbo.BatteryStorageInterval</x:v>
      </x:c>
      <x:c r="C8" s="24" t="str">
        <x:v>50000 rows</x:v>
      </x:c>
      <x:c r="D8" s="24" t="str"/>
      <x:c r="E8" s="24" t="str"/>
      <x:c r="F8" s="24" t="str">
        <x:v>Not Started</x:v>
      </x:c>
    </x:row>
    <x:row r="9">
      <x:c r="A9" s="24" t="str">
        <x:v>Maintenance</x:v>
      </x:c>
      <x:c r="B9" s="24" t="str">
        <x:v>Maintenance_Logs_Messy.csv</x:v>
      </x:c>
      <x:c r="C9" s="24" t="str">
        <x:v>26 physical rows</x:v>
      </x:c>
      <x:c r="D9" s="24" t="str"/>
      <x:c r="E9" s="24" t="str"/>
      <x:c r="F9" s="24" t="str">
        <x:v>Not Started</x:v>
      </x:c>
    </x:row>
    <x:row r="10">
      <x:c r="A10" s="24" t="str">
        <x:v>Suppliers</x:v>
      </x:c>
      <x:c r="B10" s="24" t="str">
        <x:v>Supplier_Master.csv</x:v>
      </x:c>
      <x:c r="C10" s="24" t="str">
        <x:v>12 rows</x:v>
      </x:c>
      <x:c r="D10" s="24" t="str"/>
      <x:c r="E10" s="24" t="str"/>
      <x:c r="F10" s="24" t="str">
        <x:v>Not Started</x:v>
      </x:c>
    </x:row>
    <x:row r="11">
      <x:c r="A11" s="24" t="str">
        <x:v>Suppliers</x:v>
      </x:c>
      <x:c r="B11" s="24" t="str">
        <x:v>Supplier_Activity_Messy.csv</x:v>
      </x:c>
      <x:c r="C11" s="24" t="str">
        <x:v>36 rows</x:v>
      </x:c>
      <x:c r="D11" s="24" t="str"/>
      <x:c r="E11" s="24" t="str"/>
      <x:c r="F11" s="24" t="str">
        <x:v>Not Started</x:v>
      </x:c>
    </x:row>
    <x:row r="12">
      <x:c r="A12" s="24" t="str">
        <x:v>Suppliers</x:v>
      </x:c>
      <x:c r="B12" s="24" t="str">
        <x:v>Supplier_Name_Transformations.csv</x:v>
      </x:c>
      <x:c r="C12" s="24" t="str">
        <x:v>8 mappings</x:v>
      </x:c>
      <x:c r="D12" s="24" t="str"/>
      <x:c r="E12" s="24" t="str"/>
      <x:c r="F12" s="24" t="str">
        <x:v>Not Started</x:v>
      </x:c>
    </x:row>
    <x:row r="13">
      <x:c r="A13" s="24" t="str">
        <x:v>Targets</x:v>
      </x:c>
      <x:c r="B13" s="24" t="str">
        <x:v>Monthly_Targets_Wide.xlsx</x:v>
      </x:c>
      <x:c r="C13" s="24" t="str">
        <x:v>23 wide rows</x:v>
      </x:c>
      <x:c r="D13" s="24" t="str"/>
      <x:c r="E13" s="24" t="str"/>
      <x:c r="F13" s="24" t="str">
        <x:v>Not Started</x:v>
      </x:c>
    </x:row>
    <x:row r="14">
      <x:c r="A14" s="24" t="str">
        <x:v>Folder</x:v>
      </x:c>
      <x:c r="B14" s="24" t="str">
        <x:v>2026_07_Generation.csv</x:v>
      </x:c>
      <x:c r="C14" s="24" t="str">
        <x:v>341 rows</x:v>
      </x:c>
      <x:c r="D14" s="24" t="str"/>
      <x:c r="E14" s="24" t="str"/>
      <x:c r="F14" s="24" t="str">
        <x:v>Not Started</x:v>
      </x:c>
    </x:row>
    <x:row r="15">
      <x:c r="A15" s="24" t="str">
        <x:v>Folder</x:v>
      </x:c>
      <x:c r="B15" s="24" t="str">
        <x:v>2026_08_Generation.csv</x:v>
      </x:c>
      <x:c r="C15" s="24" t="str">
        <x:v>341 rows</x:v>
      </x:c>
      <x:c r="D15" s="24" t="str"/>
      <x:c r="E15" s="24" t="str"/>
      <x:c r="F15" s="24" t="str">
        <x:v>Not Started</x:v>
      </x:c>
    </x:row>
    <x:row r="16">
      <x:c r="A16" s="24" t="str">
        <x:v>Folder</x:v>
      </x:c>
      <x:c r="B16" s="24" t="str">
        <x:v>2026_09_Generation.csv</x:v>
      </x:c>
      <x:c r="C16" s="24" t="str">
        <x:v>330 rows</x:v>
      </x:c>
      <x:c r="D16" s="24" t="str"/>
      <x:c r="E16" s="24" t="str"/>
      <x:c r="F16" s="24" t="str">
        <x:v>Not Started</x:v>
      </x:c>
    </x:row>
    <x:row r="17">
      <x:c r="A17" s="24" t="str">
        <x:v>Nested</x:v>
      </x:c>
      <x:c r="B17" s="24" t="str">
        <x:v>Weather_Nested.json</x:v>
      </x:c>
      <x:c r="C17" s="24" t="str">
        <x:v>20 observations / 6 alerts</x:v>
      </x:c>
      <x:c r="D17" s="24" t="str"/>
      <x:c r="E17" s="24" t="str"/>
      <x:c r="F17" s="24" t="str">
        <x:v>Not Started</x:v>
      </x:c>
    </x:row>
    <x:row r="18">
      <x:c r="A18" s="24" t="str">
        <x:v>Nested</x:v>
      </x:c>
      <x:c r="B18" s="24" t="str">
        <x:v>Maintenance_Nested.xml</x:v>
      </x:c>
      <x:c r="C18" s="24" t="str">
        <x:v>12 events / 18 parts</x:v>
      </x:c>
      <x:c r="D18" s="24" t="str"/>
      <x:c r="E18" s="24" t="str"/>
      <x:c r="F18" s="24" t="str">
        <x:v>Not Started</x:v>
      </x:c>
    </x:row>
    <x:row r="19">
      <x:c r="A19" s="24" t="str">
        <x:v>Payload</x:v>
      </x:c>
      <x:c r="B19" s="24" t="str">
        <x:v>Payload_Columns.csv</x:v>
      </x:c>
      <x:c r="C19" s="24" t="str">
        <x:v>12 rows / 1 malformed JSON payload</x:v>
      </x:c>
      <x:c r="D19" s="24" t="str"/>
      <x:c r="E19" s="24" t="str"/>
      <x:c r="F19" s="24" t="str">
        <x:v>Not Started</x:v>
      </x:c>
    </x:row>
    <x:row r="20">
      <x:c r="A20" s="24" t="str">
        <x:v>API</x:v>
      </x:c>
      <x:c r="B20" s="24" t="str">
        <x:v>page_001.json … page_004.json</x:v>
      </x:c>
      <x:c r="C20" s="24" t="str">
        <x:v>4 pages / 28 rows</x:v>
      </x:c>
      <x:c r="D20" s="24" t="str"/>
      <x:c r="E20" s="24" t="str"/>
      <x:c r="F20" s="24" t="str">
        <x:v>Not Started</x:v>
      </x:c>
    </x:row>
  </x:sheetData>
  <x:mergeCells>
    <x:mergeCell ref="A1:F1"/>
  </x:mergeCells>
  <x:conditionalFormatting sqref="F4:F20">
    <x:cfRule type="expression" dxfId="3" priority="1">
      <x:formula>F4="Validated"</x:formula>
    </x:cfRule>
    <x:cfRule type="expression" dxfId="4" priority="2">
      <x:formula>F4="Needs Review"</x:formula>
    </x:cfRule>
    <x:cfRule type="expression" dxfId="5" priority="3">
      <x:formula>F4="In Progress"</x:formula>
    </x:cfRule>
  </x:conditionalFormatting>
  <x:dataValidations count="1">
    <x:dataValidation type="list" sqref="F4:F20">
      <x:formula1>"Not Started,In Progress,Validated,Needs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48" hidden="0" customWidth="1"/>
    <x:col min="4" max="4" width="22" hidden="0" customWidth="1"/>
    <x:col min="5" max="5" width="24" hidden="0" customWidth="1"/>
    <x:col min="6" max="6" width="18" hidden="0" customWidth="1"/>
    <x:col min="7" max="7" width="44" hidden="0" customWidth="1"/>
  </x:cols>
  <x:sheetData>
    <x:row r="1" ht="26" customHeight="1">
      <x:c r="A1" s="6" t="str">
        <x:v>Query Groups, Dependencies and Load Intent</x:v>
      </x:c>
      <x:c r="B1" s="6"/>
      <x:c r="C1" s="6"/>
      <x:c r="D1" s="6"/>
      <x:c r="E1" s="6"/>
      <x:c r="F1" s="6"/>
      <x:c r="G1" s="6"/>
    </x:row>
    <x:row r="3" ht="30" customHeight="1">
      <x:c r="A3" s="16" t="str">
        <x:v>Query/Parameter</x:v>
      </x:c>
      <x:c r="B3" s="16" t="str">
        <x:v>Group</x:v>
      </x:c>
      <x:c r="C3" s="16" t="str">
        <x:v>Source/Dependency</x:v>
      </x:c>
      <x:c r="D3" s="16" t="str">
        <x:v>Enable Load Expected</x:v>
      </x:c>
      <x:c r="E3" s="16" t="str">
        <x:v>Include Refresh Expected</x:v>
      </x:c>
      <x:c r="F3" s="16" t="str">
        <x:v>LearnerStatus</x:v>
      </x:c>
      <x:c r="G3" s="16" t="str">
        <x:v>Notes</x:v>
      </x:c>
    </x:row>
    <x:row r="4">
      <x:c r="A4" s="24" t="str">
        <x:v>pDataRoot</x:v>
      </x:c>
      <x:c r="B4" s="24" t="str">
        <x:v>00 Parameters</x:v>
      </x:c>
      <x:c r="C4" s="24" t="str">
        <x:v>Learner-selected Source_Files root</x:v>
      </x:c>
      <x:c r="D4" s="24" t="str">
        <x:v>Disabled</x:v>
      </x:c>
      <x:c r="E4" s="24" t="str">
        <x:v>N/A</x:v>
      </x:c>
      <x:c r="F4" s="24" t="str">
        <x:v>Not Started</x:v>
      </x:c>
      <x:c r="G4" s="24" t="str"/>
    </x:row>
    <x:row r="5">
      <x:c r="A5" s="24" t="str">
        <x:v>pMonthlyExtractFolder</x:v>
      </x:c>
      <x:c r="B5" s="24" t="str">
        <x:v>00 Parameters</x:v>
      </x:c>
      <x:c r="C5" s="24" t="str">
        <x:v>Monthly_Plant_Extracts folder</x:v>
      </x:c>
      <x:c r="D5" s="24" t="str">
        <x:v>Disabled</x:v>
      </x:c>
      <x:c r="E5" s="24" t="str">
        <x:v>N/A</x:v>
      </x:c>
      <x:c r="F5" s="24" t="str">
        <x:v>Not Started</x:v>
      </x:c>
      <x:c r="G5" s="24" t="str"/>
    </x:row>
    <x:row r="6">
      <x:c r="A6" s="24" t="str">
        <x:v>pSQLServer</x:v>
      </x:c>
      <x:c r="B6" s="24" t="str">
        <x:v>00 Parameters</x:v>
      </x:c>
      <x:c r="C6" s="24" t="str">
        <x:v>localhost</x:v>
      </x:c>
      <x:c r="D6" s="24" t="str">
        <x:v>Disabled</x:v>
      </x:c>
      <x:c r="E6" s="24" t="str">
        <x:v>N/A</x:v>
      </x:c>
      <x:c r="F6" s="24" t="str">
        <x:v>Not Started</x:v>
      </x:c>
      <x:c r="G6" s="24" t="str"/>
    </x:row>
    <x:row r="7">
      <x:c r="A7" s="24" t="str">
        <x:v>pSQLDatabase</x:v>
      </x:c>
      <x:c r="B7" s="24" t="str">
        <x:v>00 Parameters</x:v>
      </x:c>
      <x:c r="C7" s="24" t="str">
        <x:v>SunnyVerseRenewableGroup</x:v>
      </x:c>
      <x:c r="D7" s="24" t="str">
        <x:v>Disabled</x:v>
      </x:c>
      <x:c r="E7" s="24" t="str">
        <x:v>N/A</x:v>
      </x:c>
      <x:c r="F7" s="24" t="str">
        <x:v>Not Started</x:v>
      </x:c>
      <x:c r="G7" s="24" t="str"/>
    </x:row>
    <x:row r="8">
      <x:c r="A8" s="24" t="str">
        <x:v>pApiBaseUrl</x:v>
      </x:c>
      <x:c r="B8" s="24" t="str">
        <x:v>00 Parameters</x:v>
      </x:c>
      <x:c r="C8" s="24" t="str">
        <x:v>Published no-account URL when available</x:v>
      </x:c>
      <x:c r="D8" s="24" t="str">
        <x:v>Disabled</x:v>
      </x:c>
      <x:c r="E8" s="24" t="str">
        <x:v>N/A</x:v>
      </x:c>
      <x:c r="F8" s="24" t="str">
        <x:v>Not Started</x:v>
      </x:c>
      <x:c r="G8" s="24" t="str"/>
    </x:row>
    <x:row r="9">
      <x:c r="A9" s="24" t="str">
        <x:v>pCulture</x:v>
      </x:c>
      <x:c r="B9" s="24" t="str">
        <x:v>00 Parameters</x:v>
      </x:c>
      <x:c r="C9" s="24" t="str">
        <x:v>en-US for the standard path</x:v>
      </x:c>
      <x:c r="D9" s="24" t="str">
        <x:v>Disabled</x:v>
      </x:c>
      <x:c r="E9" s="24" t="str">
        <x:v>N/A</x:v>
      </x:c>
      <x:c r="F9" s="24" t="str">
        <x:v>Not Started</x:v>
      </x:c>
      <x:c r="G9" s="24" t="str"/>
    </x:row>
    <x:row r="10">
      <x:c r="A10" s="24" t="str">
        <x:v>RangeStart</x:v>
      </x:c>
      <x:c r="B10" s="24" t="str">
        <x:v>00 Parameters</x:v>
      </x:c>
      <x:c r="C10" s="24" t="str">
        <x:v>2026-07-01 00:00:00</x:v>
      </x:c>
      <x:c r="D10" s="24" t="str">
        <x:v>Disabled</x:v>
      </x:c>
      <x:c r="E10" s="24" t="str">
        <x:v>N/A</x:v>
      </x:c>
      <x:c r="F10" s="24" t="str">
        <x:v>Not Started</x:v>
      </x:c>
      <x:c r="G10" s="24" t="str"/>
    </x:row>
    <x:row r="11">
      <x:c r="A11" s="24" t="str">
        <x:v>RangeEnd</x:v>
      </x:c>
      <x:c r="B11" s="24" t="str">
        <x:v>00 Parameters</x:v>
      </x:c>
      <x:c r="C11" s="24" t="str">
        <x:v>2026-10-01 00:00:00</x:v>
      </x:c>
      <x:c r="D11" s="24" t="str">
        <x:v>Disabled</x:v>
      </x:c>
      <x:c r="E11" s="24" t="str">
        <x:v>N/A</x:v>
      </x:c>
      <x:c r="F11" s="24" t="str">
        <x:v>Not Started</x:v>
      </x:c>
      <x:c r="G11" s="24" t="str"/>
    </x:row>
    <x:row r="12">
      <x:c r="A12" s="24" t="str">
        <x:v>stg_SQL_Regions</x:v>
      </x:c>
      <x:c r="B12" s="24" t="str">
        <x:v>10 Staging</x:v>
      </x:c>
      <x:c r="C12" s="24" t="str">
        <x:v>SQL dbo.Regions</x:v>
      </x:c>
      <x:c r="D12" s="24" t="str">
        <x:v>Disabled</x:v>
      </x:c>
      <x:c r="E12" s="24" t="str">
        <x:v>Enabled</x:v>
      </x:c>
      <x:c r="F12" s="24" t="str">
        <x:v>Not Started</x:v>
      </x:c>
      <x:c r="G12" s="24" t="str"/>
    </x:row>
    <x:row r="13">
      <x:c r="A13" s="24" t="str">
        <x:v>stg_SQL_Technologies</x:v>
      </x:c>
      <x:c r="B13" s="24" t="str">
        <x:v>10 Staging</x:v>
      </x:c>
      <x:c r="C13" s="24" t="str">
        <x:v>SQL dbo.Technologies</x:v>
      </x:c>
      <x:c r="D13" s="24" t="str">
        <x:v>Disabled</x:v>
      </x:c>
      <x:c r="E13" s="24" t="str">
        <x:v>Enabled</x:v>
      </x:c>
      <x:c r="F13" s="24" t="str">
        <x:v>Not Started</x:v>
      </x:c>
      <x:c r="G13" s="24" t="str"/>
    </x:row>
    <x:row r="14">
      <x:c r="A14" s="24" t="str">
        <x:v>stg_SQL_Plants</x:v>
      </x:c>
      <x:c r="B14" s="24" t="str">
        <x:v>10 Staging</x:v>
      </x:c>
      <x:c r="C14" s="24" t="str">
        <x:v>SQL dbo.Plants</x:v>
      </x:c>
      <x:c r="D14" s="24" t="str">
        <x:v>Disabled</x:v>
      </x:c>
      <x:c r="E14" s="24" t="str">
        <x:v>Enabled</x:v>
      </x:c>
      <x:c r="F14" s="24" t="str">
        <x:v>Not Started</x:v>
      </x:c>
      <x:c r="G14" s="24" t="str"/>
    </x:row>
    <x:row r="15">
      <x:c r="A15" s="24" t="str">
        <x:v>stg_SQL_IntervalGeneration</x:v>
      </x:c>
      <x:c r="B15" s="24" t="str">
        <x:v>10 Staging</x:v>
      </x:c>
      <x:c r="C15" s="24" t="str">
        <x:v>SQL dbo.IntervalGeneration</x:v>
      </x:c>
      <x:c r="D15" s="24" t="str">
        <x:v>Disabled</x:v>
      </x:c>
      <x:c r="E15" s="24" t="str">
        <x:v>Enabled</x:v>
      </x:c>
      <x:c r="F15" s="24" t="str">
        <x:v>Not Started</x:v>
      </x:c>
      <x:c r="G15" s="24" t="str"/>
    </x:row>
    <x:row r="16">
      <x:c r="A16" s="24" t="str">
        <x:v>stg_Maintenance_Raw</x:v>
      </x:c>
      <x:c r="B16" s="24" t="str">
        <x:v>10 Staging</x:v>
      </x:c>
      <x:c r="C16" s="24" t="str">
        <x:v>Maintenance CSV</x:v>
      </x:c>
      <x:c r="D16" s="24" t="str">
        <x:v>Disabled</x:v>
      </x:c>
      <x:c r="E16" s="24" t="str">
        <x:v>Enabled</x:v>
      </x:c>
      <x:c r="F16" s="24" t="str">
        <x:v>Not Started</x:v>
      </x:c>
      <x:c r="G16" s="24" t="str"/>
    </x:row>
    <x:row r="17">
      <x:c r="A17" s="24" t="str">
        <x:v>stg_SupplierMaster_Raw</x:v>
      </x:c>
      <x:c r="B17" s="24" t="str">
        <x:v>10 Staging</x:v>
      </x:c>
      <x:c r="C17" s="24" t="str">
        <x:v>Supplier master</x:v>
      </x:c>
      <x:c r="D17" s="24" t="str">
        <x:v>Disabled</x:v>
      </x:c>
      <x:c r="E17" s="24" t="str">
        <x:v>Enabled</x:v>
      </x:c>
      <x:c r="F17" s="24" t="str">
        <x:v>Not Started</x:v>
      </x:c>
      <x:c r="G17" s="24" t="str"/>
    </x:row>
    <x:row r="18">
      <x:c r="A18" s="24" t="str">
        <x:v>stg_SupplierActivity_Raw</x:v>
      </x:c>
      <x:c r="B18" s="24" t="str">
        <x:v>10 Staging</x:v>
      </x:c>
      <x:c r="C18" s="24" t="str">
        <x:v>Supplier activity</x:v>
      </x:c>
      <x:c r="D18" s="24" t="str">
        <x:v>Disabled</x:v>
      </x:c>
      <x:c r="E18" s="24" t="str">
        <x:v>Enabled</x:v>
      </x:c>
      <x:c r="F18" s="24" t="str">
        <x:v>Not Started</x:v>
      </x:c>
      <x:c r="G18" s="24" t="str"/>
    </x:row>
    <x:row r="19">
      <x:c r="A19" s="24" t="str">
        <x:v>stg_SupplierTransform_Raw</x:v>
      </x:c>
      <x:c r="B19" s="24" t="str">
        <x:v>10 Staging</x:v>
      </x:c>
      <x:c r="C19" s="24" t="str">
        <x:v>Supplier transformation table</x:v>
      </x:c>
      <x:c r="D19" s="24" t="str">
        <x:v>Disabled</x:v>
      </x:c>
      <x:c r="E19" s="24" t="str">
        <x:v>Enabled</x:v>
      </x:c>
      <x:c r="F19" s="24" t="str">
        <x:v>Not Started</x:v>
      </x:c>
      <x:c r="G19" s="24" t="str"/>
    </x:row>
    <x:row r="20">
      <x:c r="A20" s="24" t="str">
        <x:v>stg_TargetsWide_Raw</x:v>
      </x:c>
      <x:c r="B20" s="24" t="str">
        <x:v>10 Staging</x:v>
      </x:c>
      <x:c r="C20" s="24" t="str">
        <x:v>Wide target workbook</x:v>
      </x:c>
      <x:c r="D20" s="24" t="str">
        <x:v>Disabled</x:v>
      </x:c>
      <x:c r="E20" s="24" t="str">
        <x:v>Enabled</x:v>
      </x:c>
      <x:c r="F20" s="24" t="str">
        <x:v>Not Started</x:v>
      </x:c>
      <x:c r="G20" s="24" t="str"/>
    </x:row>
    <x:row r="21">
      <x:c r="A21" s="24" t="str">
        <x:v>stg_PlantExtractFiles</x:v>
      </x:c>
      <x:c r="B21" s="24" t="str">
        <x:v>10 Staging</x:v>
      </x:c>
      <x:c r="C21" s="24" t="str">
        <x:v>Folder.Files metadata/binaries</x:v>
      </x:c>
      <x:c r="D21" s="24" t="str">
        <x:v>Disabled</x:v>
      </x:c>
      <x:c r="E21" s="24" t="str">
        <x:v>Enabled</x:v>
      </x:c>
      <x:c r="F21" s="24" t="str">
        <x:v>Not Started</x:v>
      </x:c>
      <x:c r="G21" s="24" t="str"/>
    </x:row>
    <x:row r="22">
      <x:c r="A22" s="24" t="str">
        <x:v>stg_WeatherJson_Raw</x:v>
      </x:c>
      <x:c r="B22" s="24" t="str">
        <x:v>10 Staging</x:v>
      </x:c>
      <x:c r="C22" s="24" t="str">
        <x:v>Nested weather JSON</x:v>
      </x:c>
      <x:c r="D22" s="24" t="str">
        <x:v>Disabled</x:v>
      </x:c>
      <x:c r="E22" s="24" t="str">
        <x:v>Enabled</x:v>
      </x:c>
      <x:c r="F22" s="24" t="str">
        <x:v>Not Started</x:v>
      </x:c>
      <x:c r="G22" s="24" t="str"/>
    </x:row>
    <x:row r="23">
      <x:c r="A23" s="24" t="str">
        <x:v>stg_MaintenanceXml_Raw</x:v>
      </x:c>
      <x:c r="B23" s="24" t="str">
        <x:v>10 Staging</x:v>
      </x:c>
      <x:c r="C23" s="24" t="str">
        <x:v>Nested maintenance XML</x:v>
      </x:c>
      <x:c r="D23" s="24" t="str">
        <x:v>Disabled</x:v>
      </x:c>
      <x:c r="E23" s="24" t="str">
        <x:v>Enabled</x:v>
      </x:c>
      <x:c r="F23" s="24" t="str">
        <x:v>Not Started</x:v>
      </x:c>
      <x:c r="G23" s="24" t="str"/>
    </x:row>
    <x:row r="24">
      <x:c r="A24" s="24" t="str">
        <x:v>stg_PayloadColumns_Raw</x:v>
      </x:c>
      <x:c r="B24" s="24" t="str">
        <x:v>10 Staging</x:v>
      </x:c>
      <x:c r="C24" s="24" t="str">
        <x:v>Payload text columns</x:v>
      </x:c>
      <x:c r="D24" s="24" t="str">
        <x:v>Disabled</x:v>
      </x:c>
      <x:c r="E24" s="24" t="str">
        <x:v>Enabled</x:v>
      </x:c>
      <x:c r="F24" s="24" t="str">
        <x:v>Not Started</x:v>
      </x:c>
      <x:c r="G24" s="24" t="str"/>
    </x:row>
    <x:row r="25">
      <x:c r="A25" s="24" t="str">
        <x:v>fnTransformPlantExtract</x:v>
      </x:c>
      <x:c r="B25" s="24" t="str">
        <x:v>20 Functions</x:v>
      </x:c>
      <x:c r="C25" s="24" t="str">
        <x:v>One-file folder transform</x:v>
      </x:c>
      <x:c r="D25" s="24" t="str">
        <x:v>Disabled</x:v>
      </x:c>
      <x:c r="E25" s="24" t="str">
        <x:v>N/A</x:v>
      </x:c>
      <x:c r="F25" s="24" t="str">
        <x:v>Not Started</x:v>
      </x:c>
      <x:c r="G25" s="24" t="str"/>
    </x:row>
    <x:row r="26">
      <x:c r="A26" s="24" t="str">
        <x:v>fnNormalizeSupplierName</x:v>
      </x:c>
      <x:c r="B26" s="24" t="str">
        <x:v>20 Functions</x:v>
      </x:c>
      <x:c r="C26" s="24" t="str">
        <x:v>Reusable supplier-name normalization</x:v>
      </x:c>
      <x:c r="D26" s="24" t="str">
        <x:v>Disabled</x:v>
      </x:c>
      <x:c r="E26" s="24" t="str">
        <x:v>N/A</x:v>
      </x:c>
      <x:c r="F26" s="24" t="str">
        <x:v>Not Started</x:v>
      </x:c>
      <x:c r="G26" s="24" t="str"/>
    </x:row>
    <x:row r="27">
      <x:c r="A27" s="24" t="str">
        <x:v>fnGetApiPage</x:v>
      </x:c>
      <x:c r="B27" s="24" t="str">
        <x:v>20 Functions</x:v>
      </x:c>
      <x:c r="C27" s="24" t="str">
        <x:v>One deterministic API page</x:v>
      </x:c>
      <x:c r="D27" s="24" t="str">
        <x:v>Disabled</x:v>
      </x:c>
      <x:c r="E27" s="24" t="str">
        <x:v>N/A</x:v>
      </x:c>
      <x:c r="F27" s="24" t="str">
        <x:v>Not Started</x:v>
      </x:c>
      <x:c r="G27" s="24" t="str"/>
    </x:row>
    <x:row r="28">
      <x:c r="A28" s="24" t="str">
        <x:v>fnParseJsonPayload</x:v>
      </x:c>
      <x:c r="B28" s="24" t="str">
        <x:v>20 Functions</x:v>
      </x:c>
      <x:c r="C28" s="24" t="str">
        <x:v>JSON-text parser</x:v>
      </x:c>
      <x:c r="D28" s="24" t="str">
        <x:v>Disabled</x:v>
      </x:c>
      <x:c r="E28" s="24" t="str">
        <x:v>N/A</x:v>
      </x:c>
      <x:c r="F28" s="24" t="str">
        <x:v>Not Started</x:v>
      </x:c>
      <x:c r="G28" s="24" t="str"/>
    </x:row>
    <x:row r="29">
      <x:c r="A29" s="24" t="str">
        <x:v>fnParseXmlPayload</x:v>
      </x:c>
      <x:c r="B29" s="24" t="str">
        <x:v>20 Functions</x:v>
      </x:c>
      <x:c r="C29" s="24" t="str">
        <x:v>XML-text parser</x:v>
      </x:c>
      <x:c r="D29" s="24" t="str">
        <x:v>Disabled</x:v>
      </x:c>
      <x:c r="E29" s="24" t="str">
        <x:v>N/A</x:v>
      </x:c>
      <x:c r="F29" s="24" t="str">
        <x:v>Not Started</x:v>
      </x:c>
      <x:c r="G29" s="24" t="str"/>
    </x:row>
    <x:row r="30">
      <x:c r="A30" s="24" t="str">
        <x:v>Regions_Prepared</x:v>
      </x:c>
      <x:c r="B30" s="24" t="str">
        <x:v>30 Prepared</x:v>
      </x:c>
      <x:c r="C30" s="24" t="str">
        <x:v>stg_SQL_Regions</x:v>
      </x:c>
      <x:c r="D30" s="24" t="str">
        <x:v>Enabled</x:v>
      </x:c>
      <x:c r="E30" s="24" t="str">
        <x:v>Enabled</x:v>
      </x:c>
      <x:c r="F30" s="24" t="str">
        <x:v>Not Started</x:v>
      </x:c>
      <x:c r="G30" s="24" t="str"/>
    </x:row>
    <x:row r="31">
      <x:c r="A31" s="24" t="str">
        <x:v>Plants_Prepared</x:v>
      </x:c>
      <x:c r="B31" s="24" t="str">
        <x:v>30 Prepared</x:v>
      </x:c>
      <x:c r="C31" s="24" t="str">
        <x:v>stg_SQL_Plants</x:v>
      </x:c>
      <x:c r="D31" s="24" t="str">
        <x:v>Enabled</x:v>
      </x:c>
      <x:c r="E31" s="24" t="str">
        <x:v>Enabled</x:v>
      </x:c>
      <x:c r="F31" s="24" t="str">
        <x:v>Not Started</x:v>
      </x:c>
      <x:c r="G31" s="24" t="str"/>
    </x:row>
    <x:row r="32">
      <x:c r="A32" s="24" t="str">
        <x:v>Generation_Prepared</x:v>
      </x:c>
      <x:c r="B32" s="24" t="str">
        <x:v>30 Prepared</x:v>
      </x:c>
      <x:c r="C32" s="24" t="str">
        <x:v>folder + fnTransformPlantExtract</x:v>
      </x:c>
      <x:c r="D32" s="24" t="str">
        <x:v>Enabled</x:v>
      </x:c>
      <x:c r="E32" s="24" t="str">
        <x:v>Enabled</x:v>
      </x:c>
      <x:c r="F32" s="24" t="str">
        <x:v>Not Started</x:v>
      </x:c>
      <x:c r="G32" s="24" t="str"/>
    </x:row>
    <x:row r="33">
      <x:c r="A33" s="24" t="str">
        <x:v>Maintenance_Prepared</x:v>
      </x:c>
      <x:c r="B33" s="24" t="str">
        <x:v>30 Prepared</x:v>
      </x:c>
      <x:c r="C33" s="24" t="str">
        <x:v>stg_Maintenance_Raw</x:v>
      </x:c>
      <x:c r="D33" s="24" t="str">
        <x:v>Enabled</x:v>
      </x:c>
      <x:c r="E33" s="24" t="str">
        <x:v>Enabled</x:v>
      </x:c>
      <x:c r="F33" s="24" t="str">
        <x:v>Not Started</x:v>
      </x:c>
      <x:c r="G33" s="24" t="str"/>
    </x:row>
    <x:row r="34">
      <x:c r="A34" s="24" t="str">
        <x:v>Targets_Prepared</x:v>
      </x:c>
      <x:c r="B34" s="24" t="str">
        <x:v>30 Prepared</x:v>
      </x:c>
      <x:c r="C34" s="24" t="str">
        <x:v>stg_TargetsWide_Raw</x:v>
      </x:c>
      <x:c r="D34" s="24" t="str">
        <x:v>Enabled</x:v>
      </x:c>
      <x:c r="E34" s="24" t="str">
        <x:v>Enabled</x:v>
      </x:c>
      <x:c r="F34" s="24" t="str">
        <x:v>Not Started</x:v>
      </x:c>
      <x:c r="G34" s="24" t="str"/>
    </x:row>
    <x:row r="35">
      <x:c r="A35" s="24" t="str">
        <x:v>Suppliers_Prepared</x:v>
      </x:c>
      <x:c r="B35" s="24" t="str">
        <x:v>30 Prepared</x:v>
      </x:c>
      <x:c r="C35" s="24" t="str">
        <x:v>stg_SupplierMaster_Raw</x:v>
      </x:c>
      <x:c r="D35" s="24" t="str">
        <x:v>Enabled</x:v>
      </x:c>
      <x:c r="E35" s="24" t="str">
        <x:v>Enabled</x:v>
      </x:c>
      <x:c r="F35" s="24" t="str">
        <x:v>Not Started</x:v>
      </x:c>
      <x:c r="G35" s="24" t="str"/>
    </x:row>
    <x:row r="36">
      <x:c r="A36" s="24" t="str">
        <x:v>SupplierActivity_Prepared</x:v>
      </x:c>
      <x:c r="B36" s="24" t="str">
        <x:v>30 Prepared</x:v>
      </x:c>
      <x:c r="C36" s="24" t="str">
        <x:v>supplier activity + master + match logic</x:v>
      </x:c>
      <x:c r="D36" s="24" t="str">
        <x:v>Enabled</x:v>
      </x:c>
      <x:c r="E36" s="24" t="str">
        <x:v>Enabled</x:v>
      </x:c>
      <x:c r="F36" s="24" t="str">
        <x:v>Not Started</x:v>
      </x:c>
      <x:c r="G36" s="24" t="str"/>
    </x:row>
    <x:row r="37">
      <x:c r="A37" s="24" t="str">
        <x:v>Weather_Prepared</x:v>
      </x:c>
      <x:c r="B37" s="24" t="str">
        <x:v>30 Prepared</x:v>
      </x:c>
      <x:c r="C37" s="24" t="str">
        <x:v>stg_WeatherJson_Raw</x:v>
      </x:c>
      <x:c r="D37" s="24" t="str">
        <x:v>Enabled</x:v>
      </x:c>
      <x:c r="E37" s="24" t="str">
        <x:v>Enabled</x:v>
      </x:c>
      <x:c r="F37" s="24" t="str">
        <x:v>Not Started</x:v>
      </x:c>
      <x:c r="G37" s="24" t="str"/>
    </x:row>
    <x:row r="38">
      <x:c r="A38" s="24" t="str">
        <x:v>ApiOperations_Prepared</x:v>
      </x:c>
      <x:c r="B38" s="24" t="str">
        <x:v>30 Prepared</x:v>
      </x:c>
      <x:c r="C38" s="24" t="str">
        <x:v>fnGetApiPage + List.Generate</x:v>
      </x:c>
      <x:c r="D38" s="24" t="str">
        <x:v>Enabled</x:v>
      </x:c>
      <x:c r="E38" s="24" t="str">
        <x:v>Enabled</x:v>
      </x:c>
      <x:c r="F38" s="24" t="str">
        <x:v>Not Started</x:v>
      </x:c>
      <x:c r="G38" s="24" t="str"/>
    </x:row>
    <x:row r="39">
      <x:c r="A39" s="24" t="str">
        <x:v>Date_Prepared</x:v>
      </x:c>
      <x:c r="B39" s="24" t="str">
        <x:v>30 Prepared</x:v>
      </x:c>
      <x:c r="C39" s="24" t="str">
        <x:v>M-generated Q3 date table</x:v>
      </x:c>
      <x:c r="D39" s="24" t="str">
        <x:v>Enabled</x:v>
      </x:c>
      <x:c r="E39" s="24" t="str">
        <x:v>Enabled</x:v>
      </x:c>
      <x:c r="F39" s="24" t="str">
        <x:v>Not Started</x:v>
      </x:c>
      <x:c r="G39" s="24" t="str"/>
    </x:row>
    <x:row r="40">
      <x:c r="A40" s="24" t="str">
        <x:v>Time_Prepared</x:v>
      </x:c>
      <x:c r="B40" s="24" t="str">
        <x:v>30 Prepared</x:v>
      </x:c>
      <x:c r="C40" s="24" t="str">
        <x:v>M-generated quarter-hour table</x:v>
      </x:c>
      <x:c r="D40" s="24" t="str">
        <x:v>Enabled</x:v>
      </x:c>
      <x:c r="E40" s="24" t="str">
        <x:v>Enabled</x:v>
      </x:c>
      <x:c r="F40" s="24" t="str">
        <x:v>Not Started</x:v>
      </x:c>
      <x:c r="G40" s="24" t="str"/>
    </x:row>
    <x:row r="41">
      <x:c r="A41" s="24" t="str">
        <x:v>Audit_MaintenanceErrors</x:v>
      </x:c>
      <x:c r="B41" s="24" t="str">
        <x:v>40 Audit</x:v>
      </x:c>
      <x:c r="C41" s="24" t="str">
        <x:v>maintenance try/error records</x:v>
      </x:c>
      <x:c r="D41" s="24" t="str">
        <x:v>Disabled</x:v>
      </x:c>
      <x:c r="E41" s="24" t="str">
        <x:v>Enabled</x:v>
      </x:c>
      <x:c r="F41" s="24" t="str">
        <x:v>Not Started</x:v>
      </x:c>
      <x:c r="G41" s="24" t="str"/>
    </x:row>
    <x:row r="42">
      <x:c r="A42" s="24" t="str">
        <x:v>Audit_SupplierUnmatched</x:v>
      </x:c>
      <x:c r="B42" s="24" t="str">
        <x:v>40 Audit</x:v>
      </x:c>
      <x:c r="C42" s="24" t="str">
        <x:v>supplier unmatched records</x:v>
      </x:c>
      <x:c r="D42" s="24" t="str">
        <x:v>Disabled</x:v>
      </x:c>
      <x:c r="E42" s="24" t="str">
        <x:v>Enabled</x:v>
      </x:c>
      <x:c r="F42" s="24" t="str">
        <x:v>Not Started</x:v>
      </x:c>
      <x:c r="G42" s="24" t="str"/>
    </x:row>
    <x:row r="43">
      <x:c r="A43" s="24" t="str">
        <x:v>Audit_FolderSchema</x:v>
      </x:c>
      <x:c r="B43" s="24" t="str">
        <x:v>40 Audit</x:v>
      </x:c>
      <x:c r="C43" s="24" t="str">
        <x:v>folder schema inspection</x:v>
      </x:c>
      <x:c r="D43" s="24" t="str">
        <x:v>Disabled</x:v>
      </x:c>
      <x:c r="E43" s="24" t="str">
        <x:v>Enabled</x:v>
      </x:c>
      <x:c r="F43" s="24" t="str">
        <x:v>Not Started</x:v>
      </x:c>
      <x:c r="G43" s="24" t="str"/>
    </x:row>
    <x:row r="44">
      <x:c r="A44" s="24" t="str">
        <x:v>Audit_ApiPages</x:v>
      </x:c>
      <x:c r="B44" s="24" t="str">
        <x:v>40 Audit</x:v>
      </x:c>
      <x:c r="C44" s="24" t="str">
        <x:v>page metadata/counts</x:v>
      </x:c>
      <x:c r="D44" s="24" t="str">
        <x:v>Disabled</x:v>
      </x:c>
      <x:c r="E44" s="24" t="str">
        <x:v>Enabled</x:v>
      </x:c>
      <x:c r="F44" s="24" t="str">
        <x:v>Not Started</x:v>
      </x:c>
      <x:c r="G44" s="24" t="str"/>
    </x:row>
    <x:row r="45">
      <x:c r="A45" s="24" t="str">
        <x:v>Audit_TypeFailures</x:v>
      </x:c>
      <x:c r="B45" s="24" t="str">
        <x:v>40 Audit</x:v>
      </x:c>
      <x:c r="C45" s="24" t="str">
        <x:v>type-conversion failures</x:v>
      </x:c>
      <x:c r="D45" s="24" t="str">
        <x:v>Disabled</x:v>
      </x:c>
      <x:c r="E45" s="24" t="str">
        <x:v>Enabled</x:v>
      </x:c>
      <x:c r="F45" s="24" t="str">
        <x:v>Not Started</x:v>
      </x:c>
      <x:c r="G45" s="24" t="str"/>
    </x:row>
  </x:sheetData>
  <x:mergeCells>
    <x:mergeCell ref="A1:G1"/>
  </x:mergeCells>
  <x:conditionalFormatting sqref="F4:F45">
    <x:cfRule type="expression" dxfId="6" priority="1">
      <x:formula>F4="Validated"</x:formula>
    </x:cfRule>
    <x:cfRule type="expression" dxfId="7" priority="2">
      <x:formula>F4="Needs Review"</x:formula>
    </x:cfRule>
    <x:cfRule type="expression" dxfId="8" priority="3">
      <x:formula>F4="In Progress"</x:formula>
    </x:cfRule>
  </x:conditionalFormatting>
  <x:dataValidations count="1">
    <x:dataValidation type="list" sqref="F4:F45">
      <x:formula1>"Not Started,In Progress,Validated,Needs 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22" hidden="0" customWidth="1"/>
    <x:col min="8" max="8" width="44" hidden="0" customWidth="1"/>
    <x:col min="9" max="9" width="18" hidden="0" customWidth="1"/>
  </x:cols>
  <x:sheetData>
    <x:row r="1" ht="26" customHeight="1">
      <x:c r="A1" s="6" t="str">
        <x:v>Maintenance Full-Dataset Profiling Evidence</x:v>
      </x:c>
      <x:c r="B1" s="6"/>
      <x:c r="C1" s="6"/>
      <x:c r="D1" s="6"/>
      <x:c r="E1" s="6"/>
      <x:c r="F1" s="6"/>
      <x:c r="G1" s="6"/>
      <x:c r="H1" s="6"/>
      <x:c r="I1" s="6"/>
    </x:row>
    <x:row r="3" ht="30" customHeight="1">
      <x:c r="A3" s="16" t="str">
        <x:v>Column</x:v>
      </x:c>
      <x:c r="B3" s="16" t="str">
        <x:v>Scope</x:v>
      </x:c>
      <x:c r="C3" s="16" t="str">
        <x:v>PhysicalRows</x:v>
      </x:c>
      <x:c r="D3" s="16" t="str">
        <x:v>ExpectedValid</x:v>
      </x:c>
      <x:c r="E3" s="16" t="str">
        <x:v>ExpectedError</x:v>
      </x:c>
      <x:c r="F3" s="16" t="str">
        <x:v>ExpectedEmpty</x:v>
      </x:c>
      <x:c r="G3" s="16" t="str">
        <x:v>ExpectedDistinctNonblank</x:v>
      </x:c>
      <x:c r="H3" s="16" t="str">
        <x:v>LearnerObservation</x:v>
      </x:c>
      <x:c r="I3" s="16" t="str">
        <x:v>Status</x:v>
      </x:c>
    </x:row>
    <x:row r="4">
      <x:c r="A4" s="24" t="str">
        <x:v>MaintenanceEventID</x:v>
      </x:c>
      <x:c r="B4" s="24" t="str">
        <x:v>Entire dataset</x:v>
      </x:c>
      <x:c r="C4" s="24" t="n">
        <x:v>26</x:v>
      </x:c>
      <x:c r="D4" s="24" t="n">
        <x:v>25</x:v>
      </x:c>
      <x:c r="E4" s="24" t="n">
        <x:v>0</x:v>
      </x:c>
      <x:c r="F4" s="24" t="n">
        <x:v>1</x:v>
      </x:c>
      <x:c r="G4" s="24" t="n">
        <x:v>24</x:v>
      </x:c>
      <x:c r="H4" s="24" t="str"/>
      <x:c r="I4" s="24" t="str">
        <x:v>Not Started</x:v>
      </x:c>
    </x:row>
    <x:row r="5">
      <x:c r="A5" s="24" t="str">
        <x:v>StartDateTimeText → Date/Time</x:v>
      </x:c>
      <x:c r="B5" s="24" t="str">
        <x:v>Entire dataset</x:v>
      </x:c>
      <x:c r="C5" s="24" t="n">
        <x:v>26</x:v>
      </x:c>
      <x:c r="D5" s="24" t="n">
        <x:v>24</x:v>
      </x:c>
      <x:c r="E5" s="24" t="n">
        <x:v>1</x:v>
      </x:c>
      <x:c r="F5" s="24" t="n">
        <x:v>1</x:v>
      </x:c>
      <x:c r="G5" s="24" t="n">
        <x:v>24</x:v>
      </x:c>
      <x:c r="H5" s="24" t="str"/>
      <x:c r="I5" s="24" t="str">
        <x:v>Not Started</x:v>
      </x:c>
    </x:row>
    <x:row r="6">
      <x:c r="A6" s="24" t="str">
        <x:v>EndDateTimeText → Date/Time</x:v>
      </x:c>
      <x:c r="B6" s="24" t="str">
        <x:v>Entire dataset</x:v>
      </x:c>
      <x:c r="C6" s="24" t="n">
        <x:v>26</x:v>
      </x:c>
      <x:c r="D6" s="24" t="n">
        <x:v>24</x:v>
      </x:c>
      <x:c r="E6" s="24" t="n">
        <x:v>0</x:v>
      </x:c>
      <x:c r="F6" s="24" t="n">
        <x:v>2</x:v>
      </x:c>
      <x:c r="G6" s="24" t="n">
        <x:v>23</x:v>
      </x:c>
      <x:c r="H6" s="24" t="str"/>
      <x:c r="I6" s="24" t="str">
        <x:v>Not Started</x:v>
      </x:c>
    </x:row>
    <x:row r="7">
      <x:c r="A7" s="24" t="str">
        <x:v>DurationHoursText → Decimal</x:v>
      </x:c>
      <x:c r="B7" s="24" t="str">
        <x:v>Entire dataset</x:v>
      </x:c>
      <x:c r="C7" s="24" t="n">
        <x:v>26</x:v>
      </x:c>
      <x:c r="D7" s="24" t="n">
        <x:v>23</x:v>
      </x:c>
      <x:c r="E7" s="24" t="n">
        <x:v>1</x:v>
      </x:c>
      <x:c r="F7" s="24" t="n">
        <x:v>2</x:v>
      </x:c>
      <x:c r="G7" s="24" t="n">
        <x:v>16</x:v>
      </x:c>
      <x:c r="H7" s="24" t="str"/>
      <x:c r="I7" s="24" t="str">
        <x:v>Not Started</x:v>
      </x:c>
    </x:row>
    <x:row r="8">
      <x:c r="A8" s="24" t="str">
        <x:v>CostUSDText → Fixed decimal</x:v>
      </x:c>
      <x:c r="B8" s="24" t="str">
        <x:v>Entire dataset</x:v>
      </x:c>
      <x:c r="C8" s="24" t="n">
        <x:v>26</x:v>
      </x:c>
      <x:c r="D8" s="24" t="n">
        <x:v>24</x:v>
      </x:c>
      <x:c r="E8" s="24" t="n">
        <x:v>1</x:v>
      </x:c>
      <x:c r="F8" s="24" t="n">
        <x:v>1</x:v>
      </x:c>
      <x:c r="G8" s="24" t="n">
        <x:v>23</x:v>
      </x:c>
      <x:c r="H8" s="24" t="str"/>
      <x:c r="I8" s="24" t="str">
        <x:v>Not Started</x:v>
      </x:c>
    </x:row>
    <x:row r="9">
      <x:c r="A9" s="24" t="str">
        <x:v>TechnicianTeam</x:v>
      </x:c>
      <x:c r="B9" s="24" t="str">
        <x:v>Entire dataset</x:v>
      </x:c>
      <x:c r="C9" s="24" t="n">
        <x:v>26</x:v>
      </x:c>
      <x:c r="D9" s="24" t="n">
        <x:v>24</x:v>
      </x:c>
      <x:c r="E9" s="24" t="n">
        <x:v>0</x:v>
      </x:c>
      <x:c r="F9" s="24" t="n">
        <x:v>2</x:v>
      </x:c>
      <x:c r="G9" s="24" t="n">
        <x:v>10</x:v>
      </x:c>
      <x:c r="H9" s="24" t="str"/>
      <x:c r="I9" s="24" t="str">
        <x:v>Not Started</x:v>
      </x:c>
    </x:row>
  </x:sheetData>
  <x:mergeCells>
    <x:mergeCell ref="A1:I1"/>
  </x:mergeCells>
  <x:conditionalFormatting sqref="I4:I9">
    <x:cfRule type="expression" dxfId="9" priority="1">
      <x:formula>I4="Validated"</x:formula>
    </x:cfRule>
    <x:cfRule type="expression" dxfId="10" priority="2">
      <x:formula>I4="Needs Review"</x:formula>
    </x:cfRule>
    <x:cfRule type="expression" dxfId="11" priority="3">
      <x:formula>I4="In Progress"</x:formula>
    </x:cfRule>
  </x:conditionalFormatting>
  <x:dataValidations count="1">
    <x:dataValidation type="list" sqref="I4:I9">
      <x:formula1>"Not Started,In Progress,Validated,Needs 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8" hidden="0" customWidth="1"/>
    <x:col min="5" max="5" width="34" hidden="0" customWidth="1"/>
    <x:col min="6" max="6" width="26" hidden="0" customWidth="1"/>
    <x:col min="7" max="7" width="48" hidden="0" customWidth="1"/>
    <x:col min="8" max="8" width="18" hidden="0" customWidth="1"/>
  </x:cols>
  <x:sheetData>
    <x:row r="1" ht="26" customHeight="1">
      <x:c r="A1" s="6" t="str">
        <x:v>Data Types and Locale-Aware Conversion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Scenario</x:v>
      </x:c>
      <x:c r="B3" s="16" t="str">
        <x:v>RawValue</x:v>
      </x:c>
      <x:c r="C3" s="16" t="str">
        <x:v>TargetType</x:v>
      </x:c>
      <x:c r="D3" s="16" t="str">
        <x:v>Culture/Method</x:v>
      </x:c>
      <x:c r="E3" s="16" t="str">
        <x:v>ExpectedInterpretation</x:v>
      </x:c>
      <x:c r="F3" s="16" t="str">
        <x:v>LearnerResult</x:v>
      </x:c>
      <x:c r="G3" s="16" t="str">
        <x:v>Reasoning</x:v>
      </x:c>
      <x:c r="H3" s="16" t="str">
        <x:v>Status</x:v>
      </x:c>
    </x:row>
    <x:row r="4">
      <x:c r="A4" s="24" t="str">
        <x:v>Ambiguous US date</x:v>
      </x:c>
      <x:c r="B4" s="24" t="str">
        <x:v>07/05/2026 09:30</x:v>
      </x:c>
      <x:c r="C4" s="24" t="str">
        <x:v>Date/Time using locale</x:v>
      </x:c>
      <x:c r="D4" s="24" t="str">
        <x:v>en-US</x:v>
      </x:c>
      <x:c r="E4" s="24" t="str">
        <x:v>2026-07-05 09:30</x:v>
      </x:c>
      <x:c r="F4" s="24" t="str"/>
      <x:c r="G4" s="24" t="str">
        <x:v>Explain why locale matters</x:v>
      </x:c>
      <x:c r="H4" s="24" t="str">
        <x:v>Not Started</x:v>
      </x:c>
    </x:row>
    <x:row r="5">
      <x:c r="A5" s="24" t="str">
        <x:v>Same text, different locale</x:v>
      </x:c>
      <x:c r="B5" s="24" t="str">
        <x:v>07/05/2026 09:30</x:v>
      </x:c>
      <x:c r="C5" s="24" t="str">
        <x:v>Date/Time using locale</x:v>
      </x:c>
      <x:c r="D5" s="24" t="str">
        <x:v>en-GB</x:v>
      </x:c>
      <x:c r="E5" s="24" t="str">
        <x:v>2026-05-07 09:30</x:v>
      </x:c>
      <x:c r="F5" s="24" t="str"/>
      <x:c r="G5" s="24" t="str">
        <x:v>Do not silently accept the wrong culture</x:v>
      </x:c>
      <x:c r="H5" s="24" t="str">
        <x:v>Not Started</x:v>
      </x:c>
    </x:row>
    <x:row r="6">
      <x:c r="A6" s="24" t="str">
        <x:v>Currency text</x:v>
      </x:c>
      <x:c r="B6" s="24" t="str">
        <x:v>$1,250.00</x:v>
      </x:c>
      <x:c r="C6" s="24" t="str">
        <x:v>Fixed decimal / currency</x:v>
      </x:c>
      <x:c r="D6" s="24" t="str">
        <x:v>en-US</x:v>
      </x:c>
      <x:c r="E6" s="24" t="str">
        <x:v>1250.00</x:v>
      </x:c>
      <x:c r="F6" s="24" t="str"/>
      <x:c r="G6" s="24" t="str">
        <x:v>Strip presentation characters before numeric conversion</x:v>
      </x:c>
      <x:c r="H6" s="24" t="str">
        <x:v>Not Started</x:v>
      </x:c>
    </x:row>
    <x:row r="7">
      <x:c r="A7" s="24" t="str">
        <x:v>Boolean text</x:v>
      </x:c>
      <x:c r="B7" s="24" t="str">
        <x:v>TRUE / false / False</x:v>
      </x:c>
      <x:c r="C7" s="24" t="str">
        <x:v>True/False</x:v>
      </x:c>
      <x:c r="D7" s="24" t="str">
        <x:v>case-normalized</x:v>
      </x:c>
      <x:c r="E7" s="24" t="str">
        <x:v>Logical values</x:v>
      </x:c>
      <x:c r="F7" s="24" t="str"/>
      <x:c r="G7" s="24" t="str">
        <x:v>Normalize representation without changing meaning</x:v>
      </x:c>
      <x:c r="H7" s="24" t="str">
        <x:v>Not Started</x:v>
      </x:c>
    </x:row>
    <x:row r="8">
      <x:c r="A8" s="24" t="str">
        <x:v>Invalid date</x:v>
      </x:c>
      <x:c r="B8" s="24" t="str">
        <x:v>2026-09-31 08:00</x:v>
      </x:c>
      <x:c r="C8" s="24" t="str">
        <x:v>Date/Time</x:v>
      </x:c>
      <x:c r="D8" s="24" t="str">
        <x:v>en-US</x:v>
      </x:c>
      <x:c r="E8" s="24" t="str">
        <x:v>Conversion error</x:v>
      </x:c>
      <x:c r="F8" s="24" t="str"/>
      <x:c r="G8" s="24" t="str">
        <x:v>Quarantine or audit; do not invent a date</x:v>
      </x:c>
      <x:c r="H8" s="24" t="str">
        <x:v>Not Started</x:v>
      </x:c>
    </x:row>
    <x:row r="9">
      <x:c r="A9" s="24" t="str">
        <x:v>Invalid number</x:v>
      </x:c>
      <x:c r="B9" s="24" t="str">
        <x:v>five</x:v>
      </x:c>
      <x:c r="C9" s="24" t="str">
        <x:v>Decimal number</x:v>
      </x:c>
      <x:c r="D9" s="24" t="str">
        <x:v>en-US</x:v>
      </x:c>
      <x:c r="E9" s="24" t="str">
        <x:v>Conversion error</x:v>
      </x:c>
      <x:c r="F9" s="24" t="str"/>
      <x:c r="G9" s="24" t="str">
        <x:v>Repair only from stronger evidence</x:v>
      </x:c>
      <x:c r="H9" s="24" t="str">
        <x:v>Not Started</x:v>
      </x:c>
    </x:row>
  </x:sheetData>
  <x:mergeCells>
    <x:mergeCell ref="A1:H1"/>
  </x:mergeCells>
  <x:conditionalFormatting sqref="H4:H9">
    <x:cfRule type="expression" dxfId="12" priority="1">
      <x:formula>H4="Validated"</x:formula>
    </x:cfRule>
    <x:cfRule type="expression" dxfId="13" priority="2">
      <x:formula>H4="Needs Review"</x:formula>
    </x:cfRule>
    <x:cfRule type="expression" dxfId="14" priority="3">
      <x:formula>H4="In Progress"</x:formula>
    </x:cfRule>
  </x:conditionalFormatting>
  <x:dataValidations count="1">
    <x:dataValidation type="list" sqref="H4:H9">
      <x:formula1>"Not Started,In Progress,Validated,Needs Review"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30" hidden="0" customWidth="1"/>
    <x:col min="4" max="4" width="56" hidden="0" customWidth="1"/>
    <x:col min="5" max="5" width="44" hidden="0" customWidth="1"/>
    <x:col min="6" max="6" width="42" hidden="0" customWidth="1"/>
    <x:col min="7" max="7" width="18" hidden="0" customWidth="1"/>
  </x:cols>
  <x:sheetData>
    <x:row r="1" ht="26" customHeight="1">
      <x:c r="A1" s="6" t="str">
        <x:v>Cleaning, Error and Null Disposition</x:v>
      </x:c>
      <x:c r="B1" s="6"/>
      <x:c r="C1" s="6"/>
      <x:c r="D1" s="6"/>
      <x:c r="E1" s="6"/>
      <x:c r="F1" s="6"/>
      <x:c r="G1" s="6"/>
    </x:row>
    <x:row r="3" ht="30" customHeight="1">
      <x:c r="A3" s="16" t="str">
        <x:v>Issue</x:v>
      </x:c>
      <x:c r="B3" s="16" t="str">
        <x:v>Record</x:v>
      </x:c>
      <x:c r="C3" s="16" t="str">
        <x:v>RawCondition</x:v>
      </x:c>
      <x:c r="D3" s="16" t="str">
        <x:v>ExpectedFinalDisposition</x:v>
      </x:c>
      <x:c r="E3" s="16" t="str">
        <x:v>LearnerDecision</x:v>
      </x:c>
      <x:c r="F3" s="16" t="str">
        <x:v>Evidence</x:v>
      </x:c>
      <x:c r="G3" s="16" t="str">
        <x:v>Status</x:v>
      </x:c>
    </x:row>
    <x:row r="4">
      <x:c r="A4" s="24" t="str">
        <x:v>Exact duplicate</x:v>
      </x:c>
      <x:c r="B4" s="24" t="str">
        <x:v>MNT-010</x:v>
      </x:c>
      <x:c r="C4" s="24" t="str">
        <x:v>Duplicate business row</x:v>
      </x:c>
      <x:c r="D4" s="24" t="str">
        <x:v>Remove one duplicate; retain one event</x:v>
      </x:c>
      <x:c r="E4" s="24" t="str"/>
      <x:c r="F4" s="24" t="str"/>
      <x:c r="G4" s="24" t="str">
        <x:v>Not Started</x:v>
      </x:c>
    </x:row>
    <x:row r="5">
      <x:c r="A5" s="24" t="str">
        <x:v>Blank physical row</x:v>
      </x:c>
      <x:c r="B5" s="24" t="str">
        <x:v>blank row</x:v>
      </x:c>
      <x:c r="C5" s="24" t="str">
        <x:v>No business event</x:v>
      </x:c>
      <x:c r="D5" s="24" t="str">
        <x:v>Remove blank row</x:v>
      </x:c>
      <x:c r="E5" s="24" t="str"/>
      <x:c r="F5" s="24" t="str"/>
      <x:c r="G5" s="24" t="str">
        <x:v>Not Started</x:v>
      </x:c>
    </x:row>
    <x:row r="6">
      <x:c r="A6" s="24" t="str">
        <x:v>Invalid start datetime</x:v>
      </x:c>
      <x:c r="B6" s="24" t="str">
        <x:v>MNT-018</x:v>
      </x:c>
      <x:c r="C6" s="24" t="str">
        <x:v>2026-09-31 08:00</x:v>
      </x:c>
      <x:c r="D6" s="24" t="str">
        <x:v>Quarantine from Maintenance_Prepared; retain in audit</x:v>
      </x:c>
      <x:c r="E6" s="24" t="str"/>
      <x:c r="F6" s="24" t="str"/>
      <x:c r="G6" s="24" t="str">
        <x:v>Not Started</x:v>
      </x:c>
    </x:row>
    <x:row r="7">
      <x:c r="A7" s="24" t="str">
        <x:v>Malformed duration</x:v>
      </x:c>
      <x:c r="B7" s="24" t="str">
        <x:v>MNT-021</x:v>
      </x:c>
      <x:c r="C7" s="24" t="str">
        <x:v>five</x:v>
      </x:c>
      <x:c r="D7" s="24" t="str">
        <x:v>Repair from valid Start/End timestamps = 5 hours; retain audit evidence</x:v>
      </x:c>
      <x:c r="E7" s="24" t="str"/>
      <x:c r="F7" s="24" t="str"/>
      <x:c r="G7" s="24" t="str">
        <x:v>Not Started</x:v>
      </x:c>
    </x:row>
    <x:row r="8">
      <x:c r="A8" s="24" t="str">
        <x:v>Unavailable cost</x:v>
      </x:c>
      <x:c r="B8" s="24" t="str">
        <x:v>MNT-022</x:v>
      </x:c>
      <x:c r="C8" s="24" t="str">
        <x:v>not available</x:v>
      </x:c>
      <x:c r="D8" s="24" t="str">
        <x:v>Retain event with audited null cost; do not replace with zero</x:v>
      </x:c>
      <x:c r="E8" s="24" t="str"/>
      <x:c r="F8" s="24" t="str"/>
      <x:c r="G8" s="24" t="str">
        <x:v>Not Started</x:v>
      </x:c>
    </x:row>
    <x:row r="9">
      <x:c r="A9" s="24" t="str">
        <x:v>Blank technician team</x:v>
      </x:c>
      <x:c r="B9" s="24" t="str">
        <x:v>MNT-023</x:v>
      </x:c>
      <x:c r="C9" s="24" t="str">
        <x:v>null/blank</x:v>
      </x:c>
      <x:c r="D9" s="24" t="str">
        <x:v>Retain event; preserve unknown team</x:v>
      </x:c>
      <x:c r="E9" s="24" t="str"/>
      <x:c r="F9" s="24" t="str"/>
      <x:c r="G9" s="24" t="str">
        <x:v>Not Started</x:v>
      </x:c>
    </x:row>
    <x:row r="10">
      <x:c r="A10" s="24" t="str">
        <x:v>Ongoing event</x:v>
      </x:c>
      <x:c r="B10" s="24" t="str">
        <x:v>MNT-024</x:v>
      </x:c>
      <x:c r="C10" s="24" t="str">
        <x:v>blank End/Duration</x:v>
      </x:c>
      <x:c r="D10" s="24" t="str">
        <x:v>Retain In Progress event with null end/duration</x:v>
      </x:c>
      <x:c r="E10" s="24" t="str"/>
      <x:c r="F10" s="24" t="str"/>
      <x:c r="G10" s="24" t="str">
        <x:v>Not Started</x:v>
      </x:c>
    </x:row>
  </x:sheetData>
  <x:mergeCells>
    <x:mergeCell ref="A1:G1"/>
  </x:mergeCells>
  <x:conditionalFormatting sqref="G4:G10">
    <x:cfRule type="expression" dxfId="15" priority="1">
      <x:formula>G4="Validated"</x:formula>
    </x:cfRule>
    <x:cfRule type="expression" dxfId="16" priority="2">
      <x:formula>G4="Needs Review"</x:formula>
    </x:cfRule>
    <x:cfRule type="expression" dxfId="17" priority="3">
      <x:formula>G4="In Progress"</x:formula>
    </x:cfRule>
  </x:conditionalFormatting>
  <x:dataValidations count="1">
    <x:dataValidation type="list" sqref="G4:G10">
      <x:formula1>"Not Started,In Progress,Validated,Needs Review"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28" hidden="0" customWidth="1"/>
    <x:col min="5" max="5" width="46" hidden="0" customWidth="1"/>
    <x:col min="6" max="6" width="18" hidden="0" customWidth="1"/>
  </x:cols>
  <x:sheetData>
    <x:row r="1" ht="26" customHeight="1">
      <x:c r="A1" s="6" t="str">
        <x:v>Row Operations — Evidence and Meaning</x:v>
      </x:c>
      <x:c r="B1" s="6"/>
      <x:c r="C1" s="6"/>
      <x:c r="D1" s="6"/>
      <x:c r="E1" s="6"/>
      <x:c r="F1" s="6"/>
    </x:row>
    <x:row r="3" ht="30" customHeight="1">
      <x:c r="A3" s="16" t="str">
        <x:v>Operation</x:v>
      </x:c>
      <x:c r="B3" s="16" t="str">
        <x:v>LabQuery</x:v>
      </x:c>
      <x:c r="C3" s="16" t="str">
        <x:v>Business/Teaching Purpose</x:v>
      </x:c>
      <x:c r="D3" s="16" t="str">
        <x:v>LearnerResult</x:v>
      </x:c>
      <x:c r="E3" s="16" t="str">
        <x:v>Meaning/Risk</x:v>
      </x:c>
      <x:c r="F3" s="16" t="str">
        <x:v>Status</x:v>
      </x:c>
    </x:row>
    <x:row r="4">
      <x:c r="A4" s="24" t="str">
        <x:v>Remove Blank Rows</x:v>
      </x:c>
      <x:c r="B4" s="24" t="str">
        <x:v>Maintenance_RowOps_Lab</x:v>
      </x:c>
      <x:c r="C4" s="24" t="str">
        <x:v>Remove physical blank row</x:v>
      </x:c>
      <x:c r="D4" s="24" t="str"/>
      <x:c r="E4" s="24" t="str"/>
      <x:c r="F4" s="24" t="str">
        <x:v>Not Started</x:v>
      </x:c>
    </x:row>
    <x:row r="5">
      <x:c r="A5" s="24" t="str">
        <x:v>Remove Duplicates</x:v>
      </x:c>
      <x:c r="B5" s="24" t="str">
        <x:v>Maintenance_RowOps_Lab</x:v>
      </x:c>
      <x:c r="C5" s="24" t="str">
        <x:v>Prove one exact duplicate beyond first</x:v>
      </x:c>
      <x:c r="D5" s="24" t="str"/>
      <x:c r="E5" s="24" t="str"/>
      <x:c r="F5" s="24" t="str">
        <x:v>Not Started</x:v>
      </x:c>
    </x:row>
    <x:row r="6">
      <x:c r="A6" s="24" t="str">
        <x:v>Keep Duplicates</x:v>
      </x:c>
      <x:c r="B6" s="24" t="str">
        <x:v>Maintenance_RowOps_Lab</x:v>
      </x:c>
      <x:c r="C6" s="24" t="str">
        <x:v>Inspect duplicate evidence without deleting final data</x:v>
      </x:c>
      <x:c r="D6" s="24" t="str"/>
      <x:c r="E6" s="24" t="str"/>
      <x:c r="F6" s="24" t="str">
        <x:v>Not Started</x:v>
      </x:c>
    </x:row>
    <x:row r="7">
      <x:c r="A7" s="24" t="str">
        <x:v>Text Filter</x:v>
      </x:c>
      <x:c r="B7" s="24" t="str">
        <x:v>Maintenance_RowOps_Lab</x:v>
      </x:c>
      <x:c r="C7" s="24" t="str">
        <x:v>Filter MaintenanceType/Status values</x:v>
      </x:c>
      <x:c r="D7" s="24" t="str"/>
      <x:c r="E7" s="24" t="str"/>
      <x:c r="F7" s="24" t="str">
        <x:v>Not Started</x:v>
      </x:c>
    </x:row>
    <x:row r="8">
      <x:c r="A8" s="24" t="str">
        <x:v>Number Filter</x:v>
      </x:c>
      <x:c r="B8" s="24" t="str">
        <x:v>Maintenance_RowOps_Lab</x:v>
      </x:c>
      <x:c r="C8" s="24" t="str">
        <x:v>Filter valid DurationHours or Cost values</x:v>
      </x:c>
      <x:c r="D8" s="24" t="str"/>
      <x:c r="E8" s="24" t="str"/>
      <x:c r="F8" s="24" t="str">
        <x:v>Not Started</x:v>
      </x:c>
    </x:row>
    <x:row r="9">
      <x:c r="A9" s="24" t="str">
        <x:v>Date Filter</x:v>
      </x:c>
      <x:c r="B9" s="24" t="str">
        <x:v>Maintenance_RowOps_Lab</x:v>
      </x:c>
      <x:c r="C9" s="24" t="str">
        <x:v>Filter prepared StartDateTime range</x:v>
      </x:c>
      <x:c r="D9" s="24" t="str"/>
      <x:c r="E9" s="24" t="str"/>
      <x:c r="F9" s="24" t="str">
        <x:v>Not Started</x:v>
      </x:c>
    </x:row>
    <x:row r="10">
      <x:c r="A10" s="24" t="str">
        <x:v>Keep Top Rows</x:v>
      </x:c>
      <x:c r="B10" s="24" t="str">
        <x:v>Maintenance_RowOps_Lab</x:v>
      </x:c>
      <x:c r="C10" s="24" t="str">
        <x:v>Demonstrate row selection, not business ranking</x:v>
      </x:c>
      <x:c r="D10" s="24" t="str"/>
      <x:c r="E10" s="24" t="str"/>
      <x:c r="F10" s="24" t="str">
        <x:v>Not Started</x:v>
      </x:c>
    </x:row>
    <x:row r="11">
      <x:c r="A11" s="24" t="str">
        <x:v>Keep Bottom Rows</x:v>
      </x:c>
      <x:c r="B11" s="24" t="str">
        <x:v>Maintenance_RowOps_Lab</x:v>
      </x:c>
      <x:c r="C11" s="24" t="str">
        <x:v>Demonstrate row selection</x:v>
      </x:c>
      <x:c r="D11" s="24" t="str"/>
      <x:c r="E11" s="24" t="str"/>
      <x:c r="F11" s="24" t="str">
        <x:v>Not Started</x:v>
      </x:c>
    </x:row>
    <x:row r="12">
      <x:c r="A12" s="24" t="str">
        <x:v>Keep Range of Rows</x:v>
      </x:c>
      <x:c r="B12" s="24" t="str">
        <x:v>Maintenance_RowOps_Lab</x:v>
      </x:c>
      <x:c r="C12" s="24" t="str">
        <x:v>Demonstrate positional selection</x:v>
      </x:c>
      <x:c r="D12" s="24" t="str"/>
      <x:c r="E12" s="24" t="str"/>
      <x:c r="F12" s="24" t="str">
        <x:v>Not Started</x:v>
      </x:c>
    </x:row>
    <x:row r="13">
      <x:c r="A13" s="24" t="str">
        <x:v>Keep Alternate Rows</x:v>
      </x:c>
      <x:c r="B13" s="24" t="str">
        <x:v>Maintenance_RowOps_Lab</x:v>
      </x:c>
      <x:c r="C13" s="24" t="str">
        <x:v>Demonstrate positional pattern</x:v>
      </x:c>
      <x:c r="D13" s="24" t="str"/>
      <x:c r="E13" s="24" t="str"/>
      <x:c r="F13" s="24" t="str">
        <x:v>Not Started</x:v>
      </x:c>
    </x:row>
    <x:row r="14">
      <x:c r="A14" s="24" t="str">
        <x:v>Remove Top/Bottom/Alternate</x:v>
      </x:c>
      <x:c r="B14" s="24" t="str">
        <x:v>Maintenance_RowOps_Lab</x:v>
      </x:c>
      <x:c r="C14" s="24" t="str">
        <x:v>Compare keep vs remove semantics</x:v>
      </x:c>
      <x:c r="D14" s="24" t="str"/>
      <x:c r="E14" s="24" t="str"/>
      <x:c r="F14" s="24" t="str">
        <x:v>Not Started</x:v>
      </x:c>
    </x:row>
    <x:row r="15">
      <x:c r="A15" s="24" t="str">
        <x:v>Sort</x:v>
      </x:c>
      <x:c r="B15" s="24" t="str">
        <x:v>Maintenance_RowOps_Lab</x:v>
      </x:c>
      <x:c r="C15" s="24" t="str">
        <x:v>Sort only when order is analytically required</x:v>
      </x:c>
      <x:c r="D15" s="24" t="str"/>
      <x:c r="E15" s="24" t="str"/>
      <x:c r="F15" s="24" t="str">
        <x:v>Not Started</x:v>
      </x:c>
    </x:row>
  </x:sheetData>
  <x:mergeCells>
    <x:mergeCell ref="A1:F1"/>
  </x:mergeCells>
  <x:conditionalFormatting sqref="F4:F15">
    <x:cfRule type="expression" dxfId="18" priority="1">
      <x:formula>F4="Validated"</x:formula>
    </x:cfRule>
    <x:cfRule type="expression" dxfId="19" priority="2">
      <x:formula>F4="Needs Review"</x:formula>
    </x:cfRule>
    <x:cfRule type="expression" dxfId="20" priority="3">
      <x:formula>F4="In Progress"</x:formula>
    </x:cfRule>
  </x:conditionalFormatting>
  <x:dataValidations count="1">
    <x:dataValidation type="list" sqref="F4:F15">
      <x:formula1>"Not Started,In Progress,Validated,Needs Review"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54" hidden="0" customWidth="1"/>
    <x:col min="4" max="4" width="38" hidden="0" customWidth="1"/>
    <x:col min="5" max="5" width="46" hidden="0" customWidth="1"/>
    <x:col min="6" max="6" width="18" hidden="0" customWidth="1"/>
  </x:cols>
  <x:sheetData>
    <x:row r="1" ht="26" customHeight="1">
      <x:c r="A1" s="6" t="str">
        <x:v>Column, Derived-Column, Fill and Grouping Operations</x:v>
      </x:c>
      <x:c r="B1" s="6"/>
      <x:c r="C1" s="6"/>
      <x:c r="D1" s="6"/>
      <x:c r="E1" s="6"/>
      <x:c r="F1" s="6"/>
    </x:row>
    <x:row r="3" ht="30" customHeight="1">
      <x:c r="A3" s="16" t="str">
        <x:v>Operation</x:v>
      </x:c>
      <x:c r="B3" s="16" t="str">
        <x:v>Source/Lab</x:v>
      </x:c>
      <x:c r="C3" s="16" t="str">
        <x:v>Teaching Purpose</x:v>
      </x:c>
      <x:c r="D3" s="16" t="str">
        <x:v>LearnerObservation</x:v>
      </x:c>
      <x:c r="E3" s="16" t="str">
        <x:v>M/Process Note</x:v>
      </x:c>
      <x:c r="F3" s="16" t="str">
        <x:v>Status</x:v>
      </x:c>
    </x:row>
    <x:row r="4">
      <x:c r="A4" s="24" t="str">
        <x:v>Promote Headers</x:v>
      </x:c>
      <x:c r="B4" s="24" t="str">
        <x:v>Raw table</x:v>
      </x:c>
      <x:c r="C4" s="24" t="str">
        <x:v>First row becomes headers</x:v>
      </x:c>
      <x:c r="D4" s="24" t="str"/>
      <x:c r="E4" s="24" t="str"/>
      <x:c r="F4" s="24" t="str">
        <x:v>Not Started</x:v>
      </x:c>
    </x:row>
    <x:row r="5">
      <x:c r="A5" s="24" t="str">
        <x:v>Demote Headers</x:v>
      </x:c>
      <x:c r="B5" s="24" t="str">
        <x:v>Lab table</x:v>
      </x:c>
      <x:c r="C5" s="24" t="str">
        <x:v>Headers become first row</x:v>
      </x:c>
      <x:c r="D5" s="24" t="str"/>
      <x:c r="E5" s="24" t="str"/>
      <x:c r="F5" s="24" t="str">
        <x:v>Not Started</x:v>
      </x:c>
    </x:row>
    <x:row r="6">
      <x:c r="A6" s="24" t="str">
        <x:v>Transpose</x:v>
      </x:c>
      <x:c r="B6" s="24" t="str">
        <x:v>Lab table</x:v>
      </x:c>
      <x:c r="C6" s="24" t="str">
        <x:v>Rows ↔ columns; grain changes</x:v>
      </x:c>
      <x:c r="D6" s="24" t="str"/>
      <x:c r="E6" s="24" t="str"/>
      <x:c r="F6" s="24" t="str">
        <x:v>Not Started</x:v>
      </x:c>
    </x:row>
    <x:row r="7">
      <x:c r="A7" s="24" t="str">
        <x:v>Reverse Rows</x:v>
      </x:c>
      <x:c r="B7" s="24" t="str">
        <x:v>Lab table</x:v>
      </x:c>
      <x:c r="C7" s="24" t="str">
        <x:v>Reverse current row order</x:v>
      </x:c>
      <x:c r="D7" s="24" t="str"/>
      <x:c r="E7" s="24" t="str"/>
      <x:c r="F7" s="24" t="str">
        <x:v>Not Started</x:v>
      </x:c>
    </x:row>
    <x:row r="8">
      <x:c r="A8" s="24" t="str">
        <x:v>Rename / Reorder</x:v>
      </x:c>
      <x:c r="B8" s="24" t="str">
        <x:v>Maintenance/Supplier</x:v>
      </x:c>
      <x:c r="C8" s="24" t="str">
        <x:v>Representation only when names/order change</x:v>
      </x:c>
      <x:c r="D8" s="24" t="str"/>
      <x:c r="E8" s="24" t="str"/>
      <x:c r="F8" s="24" t="str">
        <x:v>Not Started</x:v>
      </x:c>
    </x:row>
    <x:row r="9">
      <x:c r="A9" s="24" t="str">
        <x:v>Remove / Choose</x:v>
      </x:c>
      <x:c r="B9" s="24" t="str">
        <x:v>Lab copy</x:v>
      </x:c>
      <x:c r="C9" s="24" t="str">
        <x:v>Explicit projection</x:v>
      </x:c>
      <x:c r="D9" s="24" t="str"/>
      <x:c r="E9" s="24" t="str"/>
      <x:c r="F9" s="24" t="str">
        <x:v>Not Started</x:v>
      </x:c>
    </x:row>
    <x:row r="10">
      <x:c r="A10" s="24" t="str">
        <x:v>Remove Other Columns</x:v>
      </x:c>
      <x:c r="B10" s="24" t="str">
        <x:v>Resilience lab</x:v>
      </x:c>
      <x:c r="C10" s="24" t="str">
        <x:v>Keep required contract columns; tolerate new optional columns when appropriate</x:v>
      </x:c>
      <x:c r="D10" s="24" t="str"/>
      <x:c r="E10" s="24" t="str"/>
      <x:c r="F10" s="24" t="str">
        <x:v>Not Started</x:v>
      </x:c>
    </x:row>
    <x:row r="11">
      <x:c r="A11" s="24" t="str">
        <x:v>Duplicate Column</x:v>
      </x:c>
      <x:c r="B11" s="24" t="str">
        <x:v>PlantID / WorkOrderID</x:v>
      </x:c>
      <x:c r="C11" s="24" t="str">
        <x:v>Preserve original before extraction/split</x:v>
      </x:c>
      <x:c r="D11" s="24" t="str"/>
      <x:c r="E11" s="24" t="str"/>
      <x:c r="F11" s="24" t="str">
        <x:v>Not Started</x:v>
      </x:c>
    </x:row>
    <x:row r="12">
      <x:c r="A12" s="24" t="str">
        <x:v>Split by delimiter</x:v>
      </x:c>
      <x:c r="B12" s="24" t="str">
        <x:v>PlantID</x:v>
      </x:c>
      <x:c r="C12" s="24" t="str">
        <x:v>SVR / numeric suffix</x:v>
      </x:c>
      <x:c r="D12" s="24" t="str"/>
      <x:c r="E12" s="24" t="str"/>
      <x:c r="F12" s="24" t="str">
        <x:v>Not Started</x:v>
      </x:c>
    </x:row>
    <x:row r="13">
      <x:c r="A13" s="24" t="str">
        <x:v>Split by character count</x:v>
      </x:c>
      <x:c r="B13" s="24" t="str">
        <x:v>WorkOrderID</x:v>
      </x:c>
      <x:c r="C13" s="24" t="str">
        <x:v>Controlled fixed-position example</x:v>
      </x:c>
      <x:c r="D13" s="24" t="str"/>
      <x:c r="E13" s="24" t="str"/>
      <x:c r="F13" s="24" t="str">
        <x:v>Not Started</x:v>
      </x:c>
    </x:row>
    <x:row r="14">
      <x:c r="A14" s="24" t="str">
        <x:v>Split by positions</x:v>
      </x:c>
      <x:c r="B14" s="24" t="str">
        <x:v>WorkOrderID</x:v>
      </x:c>
      <x:c r="C14" s="24" t="str">
        <x:v>Controlled fixed positions</x:v>
      </x:c>
      <x:c r="D14" s="24" t="str"/>
      <x:c r="E14" s="24" t="str"/>
      <x:c r="F14" s="24" t="str">
        <x:v>Not Started</x:v>
      </x:c>
    </x:row>
    <x:row r="15">
      <x:c r="A15" s="24" t="str">
        <x:v>Split into rows</x:v>
      </x:c>
      <x:c r="B15" s="24" t="str">
        <x:v>Enter Data mini-lab</x:v>
      </x:c>
      <x:c r="C15" s="24" t="str">
        <x:v>One delimited cell → multiple rows; grain expands</x:v>
      </x:c>
      <x:c r="D15" s="24" t="str"/>
      <x:c r="E15" s="24" t="str"/>
      <x:c r="F15" s="24" t="str">
        <x:v>Not Started</x:v>
      </x:c>
    </x:row>
    <x:row r="16">
      <x:c r="A16" s="24" t="str">
        <x:v>Merge Columns</x:v>
      </x:c>
      <x:c r="B16" s="24" t="str">
        <x:v>PlantID components</x:v>
      </x:c>
      <x:c r="C16" s="24" t="str">
        <x:v>Recombine representation</x:v>
      </x:c>
      <x:c r="D16" s="24" t="str"/>
      <x:c r="E16" s="24" t="str"/>
      <x:c r="F16" s="24" t="str">
        <x:v>Not Started</x:v>
      </x:c>
    </x:row>
    <x:row r="17">
      <x:c r="A17" s="24" t="str">
        <x:v>Extract length/first/last/range</x:v>
      </x:c>
      <x:c r="B17" s="24" t="str">
        <x:v>WorkOrderID / PlantID</x:v>
      </x:c>
      <x:c r="C17" s="24" t="str">
        <x:v>Text inspection examples</x:v>
      </x:c>
      <x:c r="D17" s="24" t="str"/>
      <x:c r="E17" s="24" t="str"/>
      <x:c r="F17" s="24" t="str">
        <x:v>Not Started</x:v>
      </x:c>
    </x:row>
    <x:row r="18">
      <x:c r="A18" s="24" t="str">
        <x:v>Extract before/after delimiter</x:v>
      </x:c>
      <x:c r="B18" s="24" t="str">
        <x:v>PlantID</x:v>
      </x:c>
      <x:c r="C18" s="24" t="str">
        <x:v>Prefix vs identifier number</x:v>
      </x:c>
      <x:c r="D18" s="24" t="str"/>
      <x:c r="E18" s="24" t="str"/>
      <x:c r="F18" s="24" t="str">
        <x:v>Not Started</x:v>
      </x:c>
    </x:row>
    <x:row r="19">
      <x:c r="A19" s="24" t="str">
        <x:v>Date / time / duration transforms</x:v>
      </x:c>
      <x:c r="B19" s="24" t="str">
        <x:v>Maintenance_Prepared</x:v>
      </x:c>
      <x:c r="C19" s="24" t="str">
        <x:v>Date, time and duration components</x:v>
      </x:c>
      <x:c r="D19" s="24" t="str"/>
      <x:c r="E19" s="24" t="str"/>
      <x:c r="F19" s="24" t="str">
        <x:v>Not Started</x:v>
      </x:c>
    </x:row>
    <x:row r="20">
      <x:c r="A20" s="24" t="str">
        <x:v>Rounding / statistics / standard ops</x:v>
      </x:c>
      <x:c r="B20" s="24" t="str">
        <x:v>Cost/Duration lab</x:v>
      </x:c>
      <x:c r="C20" s="24" t="str">
        <x:v>Numeric transformation and summary</x:v>
      </x:c>
      <x:c r="D20" s="24" t="str"/>
      <x:c r="E20" s="24" t="str"/>
      <x:c r="F20" s="24" t="str">
        <x:v>Not Started</x:v>
      </x:c>
    </x:row>
    <x:row r="21">
      <x:c r="A21" s="24" t="str">
        <x:v>Column from Examples</x:v>
      </x:c>
      <x:c r="B21" s="24" t="str">
        <x:v>PlantID</x:v>
      </x:c>
      <x:c r="C21" s="24" t="str">
        <x:v>Infer plant numeric suffix</x:v>
      </x:c>
      <x:c r="D21" s="24" t="str"/>
      <x:c r="E21" s="24" t="str"/>
      <x:c r="F21" s="24" t="str">
        <x:v>Not Started</x:v>
      </x:c>
    </x:row>
    <x:row r="22">
      <x:c r="A22" s="24" t="str">
        <x:v>Conditional Column</x:v>
      </x:c>
      <x:c r="B22" s="24" t="str">
        <x:v>Maintenance_Prepared</x:v>
      </x:c>
      <x:c r="C22" s="24" t="str">
        <x:v>Cost band / event-state example</x:v>
      </x:c>
      <x:c r="D22" s="24" t="str"/>
      <x:c r="E22" s="24" t="str"/>
      <x:c r="F22" s="24" t="str">
        <x:v>Not Started</x:v>
      </x:c>
    </x:row>
    <x:row r="23">
      <x:c r="A23" s="24" t="str">
        <x:v>Custom Column</x:v>
      </x:c>
      <x:c r="B23" s="24" t="str">
        <x:v>Maintenance_Prepared</x:v>
      </x:c>
      <x:c r="C23" s="24" t="str">
        <x:v>Explicit expression</x:v>
      </x:c>
      <x:c r="D23" s="24" t="str"/>
      <x:c r="E23" s="24" t="str"/>
      <x:c r="F23" s="24" t="str">
        <x:v>Not Started</x:v>
      </x:c>
    </x:row>
    <x:row r="24">
      <x:c r="A24" s="24" t="str">
        <x:v>Index Column</x:v>
      </x:c>
      <x:c r="B24" s="24" t="str">
        <x:v>Lab query</x:v>
      </x:c>
      <x:c r="C24" s="24" t="str">
        <x:v>Stable row index for inspection only</x:v>
      </x:c>
      <x:c r="D24" s="24" t="str"/>
      <x:c r="E24" s="24" t="str"/>
      <x:c r="F24" s="24" t="str">
        <x:v>Not Started</x:v>
      </x:c>
    </x:row>
    <x:row r="25">
      <x:c r="A25" s="24" t="str">
        <x:v>Fill Down / Fill Up</x:v>
      </x:c>
      <x:c r="B25" s="24" t="str">
        <x:v>Enter Data mini-lab</x:v>
      </x:c>
      <x:c r="C25" s="24" t="str">
        <x:v>Fill known repeated labels; distinguish from inventing values</x:v>
      </x:c>
      <x:c r="D25" s="24" t="str"/>
      <x:c r="E25" s="24" t="str"/>
      <x:c r="F25" s="24" t="str">
        <x:v>Not Started</x:v>
      </x:c>
    </x:row>
    <x:row r="26">
      <x:c r="A26" s="24" t="str">
        <x:v>Group By — multiple aggregations</x:v>
      </x:c>
      <x:c r="B26" s="24" t="str">
        <x:v>Maintenance_Prepared</x:v>
      </x:c>
      <x:c r="C26" s="24" t="str">
        <x:v>Count, total cost, total duration by chosen grouping</x:v>
      </x:c>
      <x:c r="D26" s="24" t="str"/>
      <x:c r="E26" s="24" t="str"/>
      <x:c r="F26" s="24" t="str">
        <x:v>Not Started</x:v>
      </x:c>
    </x:row>
    <x:row r="27">
      <x:c r="A27" s="24" t="str">
        <x:v>Group By — All Rows</x:v>
      </x:c>
      <x:c r="B27" s="24" t="str">
        <x:v>Maintenance_Prepared</x:v>
      </x:c>
      <x:c r="C27" s="24" t="str">
        <x:v>Nested tables retained for inspection</x:v>
      </x:c>
      <x:c r="D27" s="24" t="str"/>
      <x:c r="E27" s="24" t="str"/>
      <x:c r="F27" s="24" t="str">
        <x:v>Not Started</x:v>
      </x:c>
    </x:row>
  </x:sheetData>
  <x:mergeCells>
    <x:mergeCell ref="A1:F1"/>
  </x:mergeCells>
  <x:conditionalFormatting sqref="F4:F27">
    <x:cfRule type="expression" dxfId="21" priority="1">
      <x:formula>F4="Validated"</x:formula>
    </x:cfRule>
    <x:cfRule type="expression" dxfId="22" priority="2">
      <x:formula>F4="Needs Review"</x:formula>
    </x:cfRule>
    <x:cfRule type="expression" dxfId="23" priority="3">
      <x:formula>F4="In Progress"</x:formula>
    </x:cfRule>
  </x:conditionalFormatting>
  <x:dataValidations count="1">
    <x:dataValidation type="list" sqref="F4:F27">
      <x:formula1>"Not Started,In Progress,Validated,Needs Review"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8" hidden="0" customWidth="1"/>
    <x:col min="4" max="4" width="30" hidden="0" customWidth="1"/>
    <x:col min="5" max="5" width="58" hidden="0" customWidth="1"/>
    <x:col min="6" max="6" width="18" hidden="0" customWidth="1"/>
  </x:cols>
  <x:sheetData>
    <x:row r="1" ht="26" customHeight="1">
      <x:c r="A1" s="6" t="str">
        <x:v>Reshaping, Pivot, Unpivot and Append Evidence</x:v>
      </x:c>
      <x:c r="B1" s="6"/>
      <x:c r="C1" s="6"/>
      <x:c r="D1" s="6"/>
      <x:c r="E1" s="6"/>
      <x:c r="F1" s="6"/>
    </x:row>
    <x:row r="3" ht="30" customHeight="1">
      <x:c r="A3" s="16" t="str">
        <x:v>Lab</x:v>
      </x:c>
      <x:c r="B3" s="16" t="str">
        <x:v>InputShape</x:v>
      </x:c>
      <x:c r="C3" s="16" t="str">
        <x:v>ExpectedResult</x:v>
      </x:c>
      <x:c r="D3" s="16" t="str">
        <x:v>LearnerResult</x:v>
      </x:c>
      <x:c r="E3" s="16" t="str">
        <x:v>Resilience/Meaning</x:v>
      </x:c>
      <x:c r="F3" s="16" t="str">
        <x:v>Status</x:v>
      </x:c>
    </x:row>
    <x:row r="4">
      <x:c r="A4" s="24" t="str">
        <x:v>Targets — Unpivot Other Columns</x:v>
      </x:c>
      <x:c r="B4" s="24" t="str">
        <x:v>23 wide rows × 3 months</x:v>
      </x:c>
      <x:c r="C4" s="24" t="str">
        <x:v>69 rows</x:v>
      </x:c>
      <x:c r="D4" s="24" t="str"/>
      <x:c r="E4" s="24" t="str">
        <x:v>Preferred resilience pattern for month columns</x:v>
      </x:c>
      <x:c r="F4" s="24" t="str">
        <x:v>Not Started</x:v>
      </x:c>
    </x:row>
    <x:row r="5">
      <x:c r="A5" s="24" t="str">
        <x:v>Targets — Unpivot Selected Columns</x:v>
      </x:c>
      <x:c r="B5" s="24" t="str">
        <x:v>Jul/Aug/Sep selected</x:v>
      </x:c>
      <x:c r="C5" s="24" t="str">
        <x:v>69 rows</x:v>
      </x:c>
      <x:c r="D5" s="24" t="str"/>
      <x:c r="E5" s="24" t="str">
        <x:v>Works now but misses a future month unless edited</x:v>
      </x:c>
      <x:c r="F5" s="24" t="str">
        <x:v>Not Started</x:v>
      </x:c>
    </x:row>
    <x:row r="6">
      <x:c r="A6" s="24" t="str">
        <x:v>Targets added-October variant</x:v>
      </x:c>
      <x:c r="B6" s="24" t="str">
        <x:v>23 wide rows × 4 months</x:v>
      </x:c>
      <x:c r="C6" s="24" t="str">
        <x:v>92 rows</x:v>
      </x:c>
      <x:c r="D6" s="24" t="str"/>
      <x:c r="E6" s="24" t="str">
        <x:v>Unpivot Other Columns captures October automatically</x:v>
      </x:c>
      <x:c r="F6" s="24" t="str">
        <x:v>Not Started</x:v>
      </x:c>
    </x:row>
    <x:row r="7">
      <x:c r="A7" s="24" t="str">
        <x:v>Pivot without aggregation</x:v>
      </x:c>
      <x:c r="B7" s="24" t="str">
        <x:v>PlantID + TargetMonth retained</x:v>
      </x:c>
      <x:c r="C7" s="24" t="str">
        <x:v>One row per PlantID/TargetMonth with target-type columns</x:v>
      </x:c>
      <x:c r="D7" s="24" t="str"/>
      <x:c r="E7" s="24" t="str">
        <x:v>Values unique at the retained grain</x:v>
      </x:c>
      <x:c r="F7" s="24" t="str">
        <x:v>Not Started</x:v>
      </x:c>
    </x:row>
    <x:row r="8">
      <x:c r="A8" s="24" t="str">
        <x:v>Pivot with aggregation</x:v>
      </x:c>
      <x:c r="B8" s="24" t="str">
        <x:v>Remove PlantID; pivot TargetType by TargetMonth</x:v>
      </x:c>
      <x:c r="C8" s="24" t="str">
        <x:v>Aggregate across plants</x:v>
      </x:c>
      <x:c r="D8" s="24" t="str"/>
      <x:c r="E8" s="24" t="str">
        <x:v>Aggregation required because values repeat by month/type</x:v>
      </x:c>
      <x:c r="F8" s="24" t="str">
        <x:v>Not Started</x:v>
      </x:c>
    </x:row>
    <x:row r="9">
      <x:c r="A9" s="24" t="str">
        <x:v>Append two</x:v>
      </x:c>
      <x:c r="B9" s="24" t="str">
        <x:v>July + August generation</x:v>
      </x:c>
      <x:c r="C9" s="24" t="str">
        <x:v>682 rows</x:v>
      </x:c>
      <x:c r="D9" s="24" t="str"/>
      <x:c r="E9" s="24" t="str">
        <x:v>Two-table append</x:v>
      </x:c>
      <x:c r="F9" s="24" t="str">
        <x:v>Not Started</x:v>
      </x:c>
    </x:row>
    <x:row r="10">
      <x:c r="A10" s="24" t="str">
        <x:v>Append three</x:v>
      </x:c>
      <x:c r="B10" s="24" t="str">
        <x:v>July + August + September</x:v>
      </x:c>
      <x:c r="C10" s="24" t="str">
        <x:v>1012 rows</x:v>
      </x:c>
      <x:c r="D10" s="24" t="str"/>
      <x:c r="E10" s="24" t="str">
        <x:v>Three-or-more append</x:v>
      </x:c>
      <x:c r="F10" s="24" t="str">
        <x:v>Not Started</x:v>
      </x:c>
    </x:row>
  </x:sheetData>
  <x:mergeCells>
    <x:mergeCell ref="A1:F1"/>
  </x:mergeCells>
  <x:conditionalFormatting sqref="F4:F10">
    <x:cfRule type="expression" dxfId="24" priority="1">
      <x:formula>F4="Validated"</x:formula>
    </x:cfRule>
    <x:cfRule type="expression" dxfId="25" priority="2">
      <x:formula>F4="Needs Review"</x:formula>
    </x:cfRule>
    <x:cfRule type="expression" dxfId="26" priority="3">
      <x:formula>F4="In Progress"</x:formula>
    </x:cfRule>
  </x:conditionalFormatting>
  <x:dataValidations count="1">
    <x:dataValidation type="list" sqref="F4:F10">
      <x:formula1>"Not Started,In Progress,Validated,Needs Review"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2" hidden="0" customWidth="1"/>
    <x:col min="5" max="5" width="24" hidden="0" customWidth="1"/>
    <x:col min="6" max="6" width="25" hidden="0" customWidth="1"/>
    <x:col min="7" max="7" width="20" hidden="0" customWidth="1"/>
    <x:col min="8" max="8" width="18" hidden="0" customWidth="1"/>
  </x:cols>
  <x:sheetData>
    <x:row r="1" ht="26" customHeight="1">
      <x:c r="A1" s="6" t="str">
        <x:v>All Join Kinds — Controlled Reconciliation Lab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JoinKind</x:v>
      </x:c>
      <x:c r="B3" s="16" t="str">
        <x:v>LeftRows</x:v>
      </x:c>
      <x:c r="C3" s="16" t="str">
        <x:v>RightRows</x:v>
      </x:c>
      <x:c r="D3" s="16" t="str">
        <x:v>ExpectedOutputRows</x:v>
      </x:c>
      <x:c r="E3" s="16" t="str">
        <x:v>ExpectedLeftUnmatched</x:v>
      </x:c>
      <x:c r="F3" s="16" t="str">
        <x:v>ExpectedRightUnmatched</x:v>
      </x:c>
      <x:c r="G3" s="16" t="str">
        <x:v>LearnerOutputRows</x:v>
      </x:c>
      <x:c r="H3" s="16" t="str">
        <x:v>Status</x:v>
      </x:c>
    </x:row>
    <x:row r="4">
      <x:c r="A4" s="24" t="str">
        <x:v>Left Outer</x:v>
      </x:c>
      <x:c r="B4" s="24" t="n">
        <x:v>12</x:v>
      </x:c>
      <x:c r="C4" s="24" t="n">
        <x:v>12</x:v>
      </x:c>
      <x:c r="D4" s="24" t="n">
        <x:v>12</x:v>
      </x:c>
      <x:c r="E4" s="24" t="n">
        <x:v>2</x:v>
      </x:c>
      <x:c r="F4" s="24" t="n">
        <x:v>2</x:v>
      </x:c>
      <x:c r="G4" s="24" t="str"/>
      <x:c r="H4" s="24" t="str">
        <x:v>Not Started</x:v>
      </x:c>
    </x:row>
    <x:row r="5">
      <x:c r="A5" s="24" t="str">
        <x:v>Right Outer</x:v>
      </x:c>
      <x:c r="B5" s="24" t="n">
        <x:v>12</x:v>
      </x:c>
      <x:c r="C5" s="24" t="n">
        <x:v>12</x:v>
      </x:c>
      <x:c r="D5" s="24" t="n">
        <x:v>12</x:v>
      </x:c>
      <x:c r="E5" s="24" t="n">
        <x:v>2</x:v>
      </x:c>
      <x:c r="F5" s="24" t="n">
        <x:v>2</x:v>
      </x:c>
      <x:c r="G5" s="24" t="str"/>
      <x:c r="H5" s="24" t="str">
        <x:v>Not Started</x:v>
      </x:c>
    </x:row>
    <x:row r="6">
      <x:c r="A6" s="24" t="str">
        <x:v>Full Outer</x:v>
      </x:c>
      <x:c r="B6" s="24" t="n">
        <x:v>12</x:v>
      </x:c>
      <x:c r="C6" s="24" t="n">
        <x:v>12</x:v>
      </x:c>
      <x:c r="D6" s="24" t="n">
        <x:v>14</x:v>
      </x:c>
      <x:c r="E6" s="24" t="n">
        <x:v>2</x:v>
      </x:c>
      <x:c r="F6" s="24" t="n">
        <x:v>2</x:v>
      </x:c>
      <x:c r="G6" s="24" t="str"/>
      <x:c r="H6" s="24" t="str">
        <x:v>Not Started</x:v>
      </x:c>
    </x:row>
    <x:row r="7">
      <x:c r="A7" s="24" t="str">
        <x:v>Inner</x:v>
      </x:c>
      <x:c r="B7" s="24" t="n">
        <x:v>12</x:v>
      </x:c>
      <x:c r="C7" s="24" t="n">
        <x:v>12</x:v>
      </x:c>
      <x:c r="D7" s="24" t="n">
        <x:v>10</x:v>
      </x:c>
      <x:c r="E7" s="24" t="n">
        <x:v>2</x:v>
      </x:c>
      <x:c r="F7" s="24" t="n">
        <x:v>2</x:v>
      </x:c>
      <x:c r="G7" s="24" t="str"/>
      <x:c r="H7" s="24" t="str">
        <x:v>Not Started</x:v>
      </x:c>
    </x:row>
    <x:row r="8">
      <x:c r="A8" s="24" t="str">
        <x:v>Left Anti</x:v>
      </x:c>
      <x:c r="B8" s="24" t="n">
        <x:v>12</x:v>
      </x:c>
      <x:c r="C8" s="24" t="n">
        <x:v>12</x:v>
      </x:c>
      <x:c r="D8" s="24" t="n">
        <x:v>2</x:v>
      </x:c>
      <x:c r="E8" s="24" t="n">
        <x:v>2</x:v>
      </x:c>
      <x:c r="F8" s="24" t="n">
        <x:v>2</x:v>
      </x:c>
      <x:c r="G8" s="24" t="str"/>
      <x:c r="H8" s="24" t="str">
        <x:v>Not Started</x:v>
      </x:c>
    </x:row>
    <x:row r="9">
      <x:c r="A9" s="24" t="str">
        <x:v>Right Anti</x:v>
      </x:c>
      <x:c r="B9" s="24" t="n">
        <x:v>12</x:v>
      </x:c>
      <x:c r="C9" s="24" t="n">
        <x:v>12</x:v>
      </x:c>
      <x:c r="D9" s="24" t="n">
        <x:v>2</x:v>
      </x:c>
      <x:c r="E9" s="24" t="n">
        <x:v>2</x:v>
      </x:c>
      <x:c r="F9" s="24" t="n">
        <x:v>2</x:v>
      </x:c>
      <x:c r="G9" s="24" t="str"/>
      <x:c r="H9" s="24" t="str">
        <x:v>Not Started</x:v>
      </x:c>
    </x:row>
  </x:sheetData>
  <x:mergeCells>
    <x:mergeCell ref="A1:H1"/>
  </x:mergeCells>
  <x:conditionalFormatting sqref="H4:H9">
    <x:cfRule type="expression" dxfId="27" priority="1">
      <x:formula>H4="Validated"</x:formula>
    </x:cfRule>
    <x:cfRule type="expression" dxfId="28" priority="2">
      <x:formula>H4="Needs Review"</x:formula>
    </x:cfRule>
    <x:cfRule type="expression" dxfId="29" priority="3">
      <x:formula>H4="In Progress"</x:formula>
    </x:cfRule>
  </x:conditionalFormatting>
  <x:dataValidations count="1">
    <x:dataValidation type="list" sqref="H4:H9">
      <x:formula1>"Not Started,In Progress,Validated,Needs Review"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64" hidden="0" customWidth="1"/>
    <x:col min="4" max="4" width="18" hidden="0" customWidth="1"/>
    <x:col min="5" max="5" width="18" hidden="0" customWidth="1"/>
  </x:cols>
  <x:sheetData>
    <x:row r="1" ht="26" customHeight="1">
      <x:c r="A1" s="6" t="str">
        <x:v>Supplier Match Pipeline Reconciliation</x:v>
      </x:c>
      <x:c r="B1" s="6"/>
      <x:c r="C1" s="6"/>
      <x:c r="D1" s="6"/>
      <x:c r="E1" s="6"/>
    </x:row>
    <x:row r="3" ht="30" customHeight="1">
      <x:c r="A3" s="16" t="str">
        <x:v>MatchMethod</x:v>
      </x:c>
      <x:c r="B3" s="16" t="str">
        <x:v>ExpectedRows</x:v>
      </x:c>
      <x:c r="C3" s="16" t="str">
        <x:v>GroundTruth</x:v>
      </x:c>
      <x:c r="D3" s="16" t="str">
        <x:v>LearnerRows</x:v>
      </x:c>
      <x:c r="E3" s="16" t="str">
        <x:v>Status</x:v>
      </x:c>
    </x:row>
    <x:row r="4">
      <x:c r="A4" s="24" t="str">
        <x:v>Exact</x:v>
      </x:c>
      <x:c r="B4" s="24" t="n">
        <x:v>12</x:v>
      </x:c>
      <x:c r="C4" s="24" t="str">
        <x:v>Names already equal canonical supplier names</x:v>
      </x:c>
      <x:c r="D4" s="24" t="str"/>
      <x:c r="E4" s="24" t="str">
        <x:v>Not Started</x:v>
      </x:c>
    </x:row>
    <x:row r="5">
      <x:c r="A5" s="24" t="str">
        <x:v>Transformation</x:v>
      </x:c>
      <x:c r="B5" s="24" t="n">
        <x:v>8</x:v>
      </x:c>
      <x:c r="C5" s="24" t="str">
        <x:v>Aliases resolved by Supplier_Name_Transformations.csv</x:v>
      </x:c>
      <x:c r="D5" s="24" t="str"/>
      <x:c r="E5" s="24" t="str">
        <x:v>Not Started</x:v>
      </x:c>
    </x:row>
    <x:row r="6">
      <x:c r="A6" s="24" t="str">
        <x:v>Fuzzy</x:v>
      </x:c>
      <x:c r="B6" s="24" t="n">
        <x:v>10</x:v>
      </x:c>
      <x:c r="C6" s="24" t="str">
        <x:v>Near-duplicate spellings resolved with threshold-based fuzzy match</x:v>
      </x:c>
      <x:c r="D6" s="24" t="str"/>
      <x:c r="E6" s="24" t="str">
        <x:v>Not Started</x:v>
      </x:c>
    </x:row>
    <x:row r="7">
      <x:c r="A7" s="24" t="str">
        <x:v>Unmatched</x:v>
      </x:c>
      <x:c r="B7" s="24" t="n">
        <x:v>6</x:v>
      </x:c>
      <x:c r="C7" s="24" t="str">
        <x:v>Genuinely different suppliers retained with null SupplierID</x:v>
      </x:c>
      <x:c r="D7" s="24" t="str"/>
      <x:c r="E7" s="24" t="str">
        <x:v>Not Started</x:v>
      </x:c>
    </x:row>
    <x:row r="8">
      <x:c r="A8" s="24" t="str">
        <x:v>Total</x:v>
      </x:c>
      <x:c r="B8" s="24" t="n">
        <x:v>36</x:v>
      </x:c>
      <x:c r="C8" s="24" t="str">
        <x:v>30 matched + 6 unmatched</x:v>
      </x:c>
      <x:c r="D8" s="24" t="str"/>
      <x:c r="E8" s="24" t="str">
        <x:v>Not Started</x:v>
      </x:c>
    </x:row>
  </x:sheetData>
  <x:mergeCells>
    <x:mergeCell ref="A1:E1"/>
  </x:mergeCells>
  <x:conditionalFormatting sqref="E4:E8">
    <x:cfRule type="expression" dxfId="30" priority="1">
      <x:formula>E4="Validated"</x:formula>
    </x:cfRule>
    <x:cfRule type="expression" dxfId="31" priority="2">
      <x:formula>E4="Needs Review"</x:formula>
    </x:cfRule>
    <x:cfRule type="expression" dxfId="32" priority="3">
      <x:formula>E4="In Progress"</x:formula>
    </x:cfRule>
  </x:conditionalFormatting>
  <x:dataValidations count="1">
    <x:dataValidation type="list" sqref="E4:E8">
      <x:formula1>"Not Started,In Progress,Validated,Needs Review"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70" hidden="0" customWidth="1"/>
    <x:col min="4" max="4" width="28" hidden="0" customWidth="1"/>
    <x:col min="5" max="5" width="18" hidden="0" customWidth="1"/>
  </x:cols>
  <x:sheetData>
    <x:row r="1" ht="26" customHeight="1">
      <x:c r="A1" s="6" t="str">
        <x:v>Folder Ingestion and Combine Files Validation</x:v>
      </x:c>
      <x:c r="B1" s="6"/>
      <x:c r="C1" s="6"/>
      <x:c r="D1" s="6"/>
      <x:c r="E1" s="6"/>
    </x:row>
    <x:row r="3" ht="30" customHeight="1">
      <x:c r="A3" s="16" t="str">
        <x:v>Item</x:v>
      </x:c>
      <x:c r="B3" s="16" t="str">
        <x:v>ExpectedValue</x:v>
      </x:c>
      <x:c r="C3" s="16" t="str">
        <x:v>Unit/Guidance</x:v>
      </x:c>
      <x:c r="D3" s="16" t="str">
        <x:v>LearnerResult</x:v>
      </x:c>
      <x:c r="E3" s="16" t="str">
        <x:v>Status</x:v>
      </x:c>
    </x:row>
    <x:row r="4">
      <x:c r="A4" s="24" t="str">
        <x:v>2026_07_Generation.csv</x:v>
      </x:c>
      <x:c r="B4" s="24" t="n">
        <x:v>341</x:v>
      </x:c>
      <x:c r="C4" s="24" t="str"/>
      <x:c r="D4" s="24" t="str"/>
      <x:c r="E4" s="24" t="str">
        <x:v>Not Started</x:v>
      </x:c>
    </x:row>
    <x:row r="5">
      <x:c r="A5" s="24" t="str">
        <x:v>2026_08_Generation.csv</x:v>
      </x:c>
      <x:c r="B5" s="24" t="n">
        <x:v>341</x:v>
      </x:c>
      <x:c r="C5" s="24" t="str"/>
      <x:c r="D5" s="24" t="str"/>
      <x:c r="E5" s="24" t="str">
        <x:v>Not Started</x:v>
      </x:c>
    </x:row>
    <x:row r="6">
      <x:c r="A6" s="24" t="str">
        <x:v>2026_09_Generation.csv</x:v>
      </x:c>
      <x:c r="B6" s="24" t="n">
        <x:v>330</x:v>
      </x:c>
      <x:c r="C6" s="24" t="str"/>
      <x:c r="D6" s="24" t="str"/>
      <x:c r="E6" s="24" t="str">
        <x:v>Not Started</x:v>
      </x:c>
    </x:row>
    <x:row r="7">
      <x:c r="A7" s="24" t="str">
        <x:v>Combined row count</x:v>
      </x:c>
      <x:c r="B7" s="24" t="n">
        <x:v>1012</x:v>
      </x:c>
      <x:c r="C7" s="24" t="str"/>
      <x:c r="D7" s="24" t="str"/>
      <x:c r="E7" s="24" t="str">
        <x:v>Not Started</x:v>
      </x:c>
    </x:row>
    <x:row r="8">
      <x:c r="A8" s="24" t="str">
        <x:v>ActualGenerationMWh total</x:v>
      </x:c>
      <x:c r="B8" s="24" t="n">
        <x:v>2088673.2</x:v>
      </x:c>
      <x:c r="C8" s="24" t="str">
        <x:v>MWh</x:v>
      </x:c>
      <x:c r="D8" s="24" t="str"/>
      <x:c r="E8" s="24" t="str">
        <x:v>Not Started</x:v>
      </x:c>
    </x:row>
    <x:row r="9">
      <x:c r="A9" s="24" t="str">
        <x:v>ForecastGenerationMWh total</x:v>
      </x:c>
      <x:c r="B9" s="24" t="n">
        <x:v>2077142.54</x:v>
      </x:c>
      <x:c r="C9" s="24" t="str">
        <x:v>MWh</x:v>
      </x:c>
      <x:c r="D9" s="24" t="str"/>
      <x:c r="E9" s="24" t="str">
        <x:v>Not Started</x:v>
      </x:c>
    </x:row>
    <x:row r="10">
      <x:c r="A10" s="24" t="str">
        <x:v>Variance total</x:v>
      </x:c>
      <x:c r="B10" s="24" t="n">
        <x:v>11530.66</x:v>
      </x:c>
      <x:c r="C10" s="24" t="str">
        <x:v>MWh</x:v>
      </x:c>
      <x:c r="D10" s="24" t="str"/>
      <x:c r="E10" s="24" t="str">
        <x:v>Not Started</x:v>
      </x:c>
    </x:row>
    <x:row r="11">
      <x:c r="A11" s="24" t="str">
        <x:v>Helper-query chain</x:v>
      </x:c>
      <x:c r="B11" s="24" t="str"/>
      <x:c r="C11" s="24" t="str">
        <x:v>Sample File → Transform Sample File/function → invoked transform → combined output</x:v>
      </x:c>
      <x:c r="D11" s="24" t="str"/>
      <x:c r="E11" s="24" t="str">
        <x:v>Not Started</x:v>
      </x:c>
    </x:row>
  </x:sheetData>
  <x:mergeCells>
    <x:mergeCell ref="A1:E1"/>
  </x:mergeCells>
  <x:conditionalFormatting sqref="E4:E11">
    <x:cfRule type="expression" dxfId="33" priority="1">
      <x:formula>E4="Validated"</x:formula>
    </x:cfRule>
    <x:cfRule type="expression" dxfId="34" priority="2">
      <x:formula>E4="Needs Review"</x:formula>
    </x:cfRule>
    <x:cfRule type="expression" dxfId="35" priority="3">
      <x:formula>E4="In Progress"</x:formula>
    </x:cfRule>
  </x:conditionalFormatting>
  <x:dataValidations count="1">
    <x:dataValidation type="list" sqref="E4:E11">
      <x:formula1>"Not Started,In Progress,Validated,Needs Review"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46" hidden="0" customWidth="1"/>
    <x:col min="5" max="5" width="30" hidden="0" customWidth="1"/>
    <x:col min="6" max="6" width="18" hidden="0" customWidth="1"/>
  </x:cols>
  <x:sheetData>
    <x:row r="1" ht="26" customHeight="1">
      <x:c r="A1" s="6" t="str">
        <x:v>Nested JSON, XML, Table and Record Evidence</x:v>
      </x:c>
      <x:c r="B1" s="6"/>
      <x:c r="C1" s="6"/>
      <x:c r="D1" s="6"/>
      <x:c r="E1" s="6"/>
      <x:c r="F1" s="6"/>
    </x:row>
    <x:row r="3" ht="30" customHeight="1">
      <x:c r="A3" s="16" t="str">
        <x:v>Source/Lab</x:v>
      </x:c>
      <x:c r="B3" s="16" t="str">
        <x:v>ExpectedGrain</x:v>
      </x:c>
      <x:c r="C3" s="16" t="str">
        <x:v>ExpectedRows</x:v>
      </x:c>
      <x:c r="D3" s="16" t="str">
        <x:v>NestedDetail</x:v>
      </x:c>
      <x:c r="E3" s="16" t="str">
        <x:v>LearnerResult</x:v>
      </x:c>
      <x:c r="F3" s="16" t="str">
        <x:v>Status</x:v>
      </x:c>
    </x:row>
    <x:row r="4">
      <x:c r="A4" s="24" t="str">
        <x:v>Weather_Nested.json</x:v>
      </x:c>
      <x:c r="B4" s="24" t="str">
        <x:v>Region-day observations</x:v>
      </x:c>
      <x:c r="C4" s="24" t="n">
        <x:v>20</x:v>
      </x:c>
      <x:c r="D4" s="24" t="str">
        <x:v>6 nested alerts</x:v>
      </x:c>
      <x:c r="E4" s="24" t="str"/>
      <x:c r="F4" s="24" t="str">
        <x:v>Not Started</x:v>
      </x:c>
    </x:row>
    <x:row r="5">
      <x:c r="A5" s="24" t="str">
        <x:v>Maintenance_Nested.xml</x:v>
      </x:c>
      <x:c r="B5" s="24" t="str">
        <x:v>Maintenance events</x:v>
      </x:c>
      <x:c r="C5" s="24" t="n">
        <x:v>12</x:v>
      </x:c>
      <x:c r="D5" s="24" t="str">
        <x:v>18 part records</x:v>
      </x:c>
      <x:c r="E5" s="24" t="str"/>
      <x:c r="F5" s="24" t="str">
        <x:v>Not Started</x:v>
      </x:c>
    </x:row>
    <x:row r="6">
      <x:c r="A6" s="24" t="str">
        <x:v>Nested table expansion</x:v>
      </x:c>
      <x:c r="B6" s="24" t="str">
        <x:v>Supplier/merge nested table</x:v>
      </x:c>
      <x:c r="C6" s="24" t="str">
        <x:v>Depends on lab</x:v>
      </x:c>
      <x:c r="D6" s="24" t="str">
        <x:v>Expansion can multiply rows</x:v>
      </x:c>
      <x:c r="E6" s="24" t="str"/>
      <x:c r="F6" s="24" t="str">
        <x:v>Not Started</x:v>
      </x:c>
    </x:row>
    <x:row r="7">
      <x:c r="A7" s="24" t="str">
        <x:v>Nested aggregation</x:v>
      </x:c>
      <x:c r="B7" s="24" t="str">
        <x:v>Supplier/merge nested table</x:v>
      </x:c>
      <x:c r="C7" s="24" t="str">
        <x:v>Depends on lab</x:v>
      </x:c>
      <x:c r="D7" s="24" t="str">
        <x:v>Aggregation preserves one parent row</x:v>
      </x:c>
      <x:c r="E7" s="24" t="str"/>
      <x:c r="F7" s="24" t="str">
        <x:v>Not Started</x:v>
      </x:c>
    </x:row>
  </x:sheetData>
  <x:mergeCells>
    <x:mergeCell ref="A1:F1"/>
  </x:mergeCells>
  <x:conditionalFormatting sqref="F4:F7">
    <x:cfRule type="expression" dxfId="36" priority="1">
      <x:formula>F4="Validated"</x:formula>
    </x:cfRule>
    <x:cfRule type="expression" dxfId="37" priority="2">
      <x:formula>F4="Needs Review"</x:formula>
    </x:cfRule>
    <x:cfRule type="expression" dxfId="38" priority="3">
      <x:formula>F4="In Progress"</x:formula>
    </x:cfRule>
  </x:conditionalFormatting>
  <x:dataValidations count="1">
    <x:dataValidation type="list" sqref="F4:F7">
      <x:formula1>"Not Started,In Progress,Validated,Needs Review"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28" hidden="0" customWidth="1"/>
    <x:col min="5" max="5" width="18" hidden="0" customWidth="1"/>
  </x:cols>
  <x:sheetData>
    <x:row r="1" ht="26" customHeight="1">
      <x:c r="A1" s="6" t="str">
        <x:v>JSON/XML Text Payload Parsing</x:v>
      </x:c>
      <x:c r="B1" s="6"/>
      <x:c r="C1" s="6"/>
      <x:c r="D1" s="6"/>
      <x:c r="E1" s="6"/>
    </x:row>
    <x:row r="3" ht="30" customHeight="1">
      <x:c r="A3" s="16" t="str">
        <x:v>Metric</x:v>
      </x:c>
      <x:c r="B3" s="16" t="str">
        <x:v>Expected</x:v>
      </x:c>
      <x:c r="C3" s="16" t="str">
        <x:v>Condition</x:v>
      </x:c>
      <x:c r="D3" s="16" t="str">
        <x:v>LearnerResult</x:v>
      </x:c>
      <x:c r="E3" s="16" t="str">
        <x:v>Status</x:v>
      </x:c>
    </x:row>
    <x:row r="4">
      <x:c r="A4" s="24" t="str">
        <x:v>Total payload rows</x:v>
      </x:c>
      <x:c r="B4" s="24" t="n">
        <x:v>12</x:v>
      </x:c>
      <x:c r="C4" s="24" t="str"/>
      <x:c r="D4" s="24" t="str"/>
      <x:c r="E4" s="24" t="str">
        <x:v>Not Started</x:v>
      </x:c>
    </x:row>
    <x:row r="5">
      <x:c r="A5" s="24" t="str">
        <x:v>JSON payload rows</x:v>
      </x:c>
      <x:c r="B5" s="24" t="n">
        <x:v>6</x:v>
      </x:c>
      <x:c r="C5" s="24" t="str"/>
      <x:c r="D5" s="24" t="str"/>
      <x:c r="E5" s="24" t="str">
        <x:v>Not Started</x:v>
      </x:c>
    </x:row>
    <x:row r="6">
      <x:c r="A6" s="24" t="str">
        <x:v>XML payload rows</x:v>
      </x:c>
      <x:c r="B6" s="24" t="n">
        <x:v>6</x:v>
      </x:c>
      <x:c r="C6" s="24" t="str"/>
      <x:c r="D6" s="24" t="str"/>
      <x:c r="E6" s="24" t="str">
        <x:v>Not Started</x:v>
      </x:c>
    </x:row>
    <x:row r="7">
      <x:c r="A7" s="24" t="str">
        <x:v>Parse successes</x:v>
      </x:c>
      <x:c r="B7" s="24" t="n">
        <x:v>11</x:v>
      </x:c>
      <x:c r="C7" s="24" t="str"/>
      <x:c r="D7" s="24" t="str"/>
      <x:c r="E7" s="24" t="str">
        <x:v>Not Started</x:v>
      </x:c>
    </x:row>
    <x:row r="8">
      <x:c r="A8" s="24" t="str">
        <x:v>Controlled parse error</x:v>
      </x:c>
      <x:c r="B8" s="24" t="n">
        <x:v>1</x:v>
      </x:c>
      <x:c r="C8" s="24" t="str">
        <x:v>PAY-006 malformed JSON</x:v>
      </x:c>
      <x:c r="D8" s="24" t="str"/>
      <x:c r="E8" s="24" t="str">
        <x:v>Not Started</x:v>
      </x:c>
    </x:row>
  </x:sheetData>
  <x:mergeCells>
    <x:mergeCell ref="A1:E1"/>
  </x:mergeCells>
  <x:conditionalFormatting sqref="E4:E8">
    <x:cfRule type="expression" dxfId="39" priority="1">
      <x:formula>E4="Validated"</x:formula>
    </x:cfRule>
    <x:cfRule type="expression" dxfId="40" priority="2">
      <x:formula>E4="Needs Review"</x:formula>
    </x:cfRule>
    <x:cfRule type="expression" dxfId="41" priority="3">
      <x:formula>E4="In Progress"</x:formula>
    </x:cfRule>
  </x:conditionalFormatting>
  <x:dataValidations count="1">
    <x:dataValidation type="list" sqref="E4:E8">
      <x:formula1>"Not Started,In Progress,Validated,Needs Review"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6" customHeight="1">
      <x:c r="A1" s="6" t="str">
        <x:v>Paginated API / Local Page Contract</x:v>
      </x:c>
      <x:c r="B1" s="6"/>
      <x:c r="C1" s="6"/>
      <x:c r="D1" s="6"/>
      <x:c r="E1" s="6"/>
      <x:c r="F1" s="6"/>
    </x:row>
    <x:row r="3" ht="30" customHeight="1">
      <x:c r="A3" s="16" t="str">
        <x:v>Page</x:v>
      </x:c>
      <x:c r="B3" s="16" t="str">
        <x:v>ExpectedRows</x:v>
      </x:c>
      <x:c r="C3" s="16" t="str">
        <x:v>ExpectedNextPage</x:v>
      </x:c>
      <x:c r="D3" s="16" t="str">
        <x:v>LearnerRows</x:v>
      </x:c>
      <x:c r="E3" s="16" t="str">
        <x:v>LearnerNextPage</x:v>
      </x:c>
      <x:c r="F3" s="16" t="str">
        <x:v>Status</x:v>
      </x:c>
    </x:row>
    <x:row r="4">
      <x:c r="A4" s="24" t="n">
        <x:v>1</x:v>
      </x:c>
      <x:c r="B4" s="24" t="n">
        <x:v>7</x:v>
      </x:c>
      <x:c r="C4" s="24" t="n">
        <x:v>2</x:v>
      </x:c>
      <x:c r="D4" s="24" t="str"/>
      <x:c r="E4" s="24" t="str"/>
      <x:c r="F4" s="24" t="str">
        <x:v>Not Started</x:v>
      </x:c>
    </x:row>
    <x:row r="5">
      <x:c r="A5" s="24" t="n">
        <x:v>2</x:v>
      </x:c>
      <x:c r="B5" s="24" t="n">
        <x:v>7</x:v>
      </x:c>
      <x:c r="C5" s="24" t="n">
        <x:v>3</x:v>
      </x:c>
      <x:c r="D5" s="24" t="str"/>
      <x:c r="E5" s="24" t="str"/>
      <x:c r="F5" s="24" t="str">
        <x:v>Not Started</x:v>
      </x:c>
    </x:row>
    <x:row r="6">
      <x:c r="A6" s="24" t="n">
        <x:v>3</x:v>
      </x:c>
      <x:c r="B6" s="24" t="n">
        <x:v>7</x:v>
      </x:c>
      <x:c r="C6" s="24" t="n">
        <x:v>4</x:v>
      </x:c>
      <x:c r="D6" s="24" t="str"/>
      <x:c r="E6" s="24" t="str"/>
      <x:c r="F6" s="24" t="str">
        <x:v>Not Started</x:v>
      </x:c>
    </x:row>
    <x:row r="7">
      <x:c r="A7" s="24" t="n">
        <x:v>4</x:v>
      </x:c>
      <x:c r="B7" s="24" t="n">
        <x:v>7</x:v>
      </x:c>
      <x:c r="C7" s="24" t="str">
        <x:v>null</x:v>
      </x:c>
      <x:c r="D7" s="24" t="str"/>
      <x:c r="E7" s="24" t="str"/>
      <x:c r="F7" s="24" t="str">
        <x:v>Not Started</x:v>
      </x:c>
    </x:row>
    <x:row r="8">
      <x:c r="A8" s="24" t="str">
        <x:v>Total</x:v>
      </x:c>
      <x:c r="B8" s="24" t="n">
        <x:v>28</x:v>
      </x:c>
      <x:c r="C8" s="24" t="str">
        <x:v>terminal after page 4</x:v>
      </x:c>
      <x:c r="D8" s="24" t="str"/>
      <x:c r="E8" s="24" t="str"/>
      <x:c r="F8" s="24" t="str">
        <x:v>Not Started</x:v>
      </x:c>
    </x:row>
  </x:sheetData>
  <x:mergeCells>
    <x:mergeCell ref="A1:F1"/>
  </x:mergeCells>
  <x:conditionalFormatting sqref="F4:F8">
    <x:cfRule type="expression" dxfId="42" priority="1">
      <x:formula>F4="Validated"</x:formula>
    </x:cfRule>
    <x:cfRule type="expression" dxfId="43" priority="2">
      <x:formula>F4="Needs Review"</x:formula>
    </x:cfRule>
    <x:cfRule type="expression" dxfId="44" priority="3">
      <x:formula>F4="In Progress"</x:formula>
    </x:cfRule>
  </x:conditionalFormatting>
  <x:dataValidations count="1">
    <x:dataValidation type="list" sqref="F4:F8">
      <x:formula1>"Not Started,In Progress,Validated,Needs Review"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6" hidden="0" customWidth="1"/>
    <x:col min="4" max="4" width="58" hidden="0" customWidth="1"/>
    <x:col min="5" max="5" width="34" hidden="0" customWidth="1"/>
    <x:col min="6" max="6" width="18" hidden="0" customWidth="1"/>
  </x:cols>
  <x:sheetData>
    <x:row r="1" ht="26" customHeight="1">
      <x:c r="A1" s="6" t="str">
        <x:v>Parameters, Functions and Reuse Inventory</x:v>
      </x:c>
      <x:c r="B1" s="6"/>
      <x:c r="C1" s="6"/>
      <x:c r="D1" s="6"/>
      <x:c r="E1" s="6"/>
      <x:c r="F1" s="6"/>
    </x:row>
    <x:row r="3" ht="30" customHeight="1">
      <x:c r="A3" s="16" t="str">
        <x:v>Name</x:v>
      </x:c>
      <x:c r="B3" s="16" t="str">
        <x:v>Kind</x:v>
      </x:c>
      <x:c r="C3" s="16" t="str">
        <x:v>Type/Signature</x:v>
      </x:c>
      <x:c r="D3" s="16" t="str">
        <x:v>Role/CurrentValue</x:v>
      </x:c>
      <x:c r="E3" s="16" t="str">
        <x:v>LearnerConfigured/Result</x:v>
      </x:c>
      <x:c r="F3" s="16" t="str">
        <x:v>Status</x:v>
      </x:c>
    </x:row>
    <x:row r="4">
      <x:c r="A4" s="24" t="str">
        <x:v>pDataRoot</x:v>
      </x:c>
      <x:c r="B4" s="24" t="str">
        <x:v>Parameter</x:v>
      </x:c>
      <x:c r="C4" s="24" t="str">
        <x:v>text</x:v>
      </x:c>
      <x:c r="D4" s="24" t="str">
        <x:v>Path to working Source_Files</x:v>
      </x:c>
      <x:c r="E4" s="24" t="str"/>
      <x:c r="F4" s="24" t="str">
        <x:v>Not Started</x:v>
      </x:c>
    </x:row>
    <x:row r="5">
      <x:c r="A5" s="24" t="str">
        <x:v>pMonthlyExtractFolder</x:v>
      </x:c>
      <x:c r="B5" s="24" t="str">
        <x:v>Parameter</x:v>
      </x:c>
      <x:c r="C5" s="24" t="str">
        <x:v>text</x:v>
      </x:c>
      <x:c r="D5" s="24" t="str">
        <x:v>Path to Monthly_Plant_Extracts</x:v>
      </x:c>
      <x:c r="E5" s="24" t="str"/>
      <x:c r="F5" s="24" t="str">
        <x:v>Not Started</x:v>
      </x:c>
    </x:row>
    <x:row r="6">
      <x:c r="A6" s="24" t="str">
        <x:v>pSQLServer</x:v>
      </x:c>
      <x:c r="B6" s="24" t="str">
        <x:v>Parameter</x:v>
      </x:c>
      <x:c r="C6" s="24" t="str">
        <x:v>text</x:v>
      </x:c>
      <x:c r="D6" s="24" t="str">
        <x:v>localhost</x:v>
      </x:c>
      <x:c r="E6" s="24" t="str"/>
      <x:c r="F6" s="24" t="str">
        <x:v>Not Started</x:v>
      </x:c>
    </x:row>
    <x:row r="7">
      <x:c r="A7" s="24" t="str">
        <x:v>pSQLDatabase</x:v>
      </x:c>
      <x:c r="B7" s="24" t="str">
        <x:v>Parameter</x:v>
      </x:c>
      <x:c r="C7" s="24" t="str">
        <x:v>text</x:v>
      </x:c>
      <x:c r="D7" s="24" t="str">
        <x:v>SunnyVerseRenewableGroup</x:v>
      </x:c>
      <x:c r="E7" s="24" t="str"/>
      <x:c r="F7" s="24" t="str">
        <x:v>Not Started</x:v>
      </x:c>
    </x:row>
    <x:row r="8">
      <x:c r="A8" s="24" t="str">
        <x:v>pApiBaseUrl</x:v>
      </x:c>
      <x:c r="B8" s="24" t="str">
        <x:v>Parameter</x:v>
      </x:c>
      <x:c r="C8" s="24" t="str">
        <x:v>text</x:v>
      </x:c>
      <x:c r="D8" s="24" t="str">
        <x:v>Published endpoint if available; blank/local fallback otherwise</x:v>
      </x:c>
      <x:c r="E8" s="24" t="str"/>
      <x:c r="F8" s="24" t="str">
        <x:v>Not Started</x:v>
      </x:c>
    </x:row>
    <x:row r="9">
      <x:c r="A9" s="24" t="str">
        <x:v>pCulture</x:v>
      </x:c>
      <x:c r="B9" s="24" t="str">
        <x:v>Parameter</x:v>
      </x:c>
      <x:c r="C9" s="24" t="str">
        <x:v>text</x:v>
      </x:c>
      <x:c r="D9" s="24" t="str">
        <x:v>en-US</x:v>
      </x:c>
      <x:c r="E9" s="24" t="str"/>
      <x:c r="F9" s="24" t="str">
        <x:v>Not Started</x:v>
      </x:c>
    </x:row>
    <x:row r="10">
      <x:c r="A10" s="24" t="str">
        <x:v>RangeStart</x:v>
      </x:c>
      <x:c r="B10" s="24" t="str">
        <x:v>Parameter</x:v>
      </x:c>
      <x:c r="C10" s="24" t="str">
        <x:v>date/time</x:v>
      </x:c>
      <x:c r="D10" s="24" t="str">
        <x:v>2026-07-01 00:00:00</x:v>
      </x:c>
      <x:c r="E10" s="24" t="str"/>
      <x:c r="F10" s="24" t="str">
        <x:v>Not Started</x:v>
      </x:c>
    </x:row>
    <x:row r="11">
      <x:c r="A11" s="24" t="str">
        <x:v>RangeEnd</x:v>
      </x:c>
      <x:c r="B11" s="24" t="str">
        <x:v>Parameter</x:v>
      </x:c>
      <x:c r="C11" s="24" t="str">
        <x:v>date/time</x:v>
      </x:c>
      <x:c r="D11" s="24" t="str">
        <x:v>2026-10-01 00:00:00</x:v>
      </x:c>
      <x:c r="E11" s="24" t="str"/>
      <x:c r="F11" s="24" t="str">
        <x:v>Not Started</x:v>
      </x:c>
    </x:row>
    <x:row r="12">
      <x:c r="A12" s="24" t="str">
        <x:v>fnTransformPlantExtract</x:v>
      </x:c>
      <x:c r="B12" s="24" t="str">
        <x:v>Function</x:v>
      </x:c>
      <x:c r="C12" s="24" t="str">
        <x:v>binary → table</x:v>
      </x:c>
      <x:c r="D12" s="24" t="str">
        <x:v>One monthly CSV → typed standard table</x:v>
      </x:c>
      <x:c r="E12" s="24" t="str"/>
      <x:c r="F12" s="24" t="str">
        <x:v>Not Started</x:v>
      </x:c>
    </x:row>
    <x:row r="13">
      <x:c r="A13" s="24" t="str">
        <x:v>fnNormalizeSupplierName</x:v>
      </x:c>
      <x:c r="B13" s="24" t="str">
        <x:v>Function</x:v>
      </x:c>
      <x:c r="C13" s="24" t="str">
        <x:v>nullable text → nullable text</x:v>
      </x:c>
      <x:c r="D13" s="24" t="str">
        <x:v>Reusable text normalization</x:v>
      </x:c>
      <x:c r="E13" s="24" t="str"/>
      <x:c r="F13" s="24" t="str">
        <x:v>Not Started</x:v>
      </x:c>
    </x:row>
    <x:row r="14">
      <x:c r="A14" s="24" t="str">
        <x:v>fnGetApiPage</x:v>
      </x:c>
      <x:c r="B14" s="24" t="str">
        <x:v>Function</x:v>
      </x:c>
      <x:c r="C14" s="24" t="str">
        <x:v>number → record</x:v>
      </x:c>
      <x:c r="D14" s="24" t="str">
        <x:v>One deterministic page</x:v>
      </x:c>
      <x:c r="E14" s="24" t="str"/>
      <x:c r="F14" s="24" t="str">
        <x:v>Not Started</x:v>
      </x:c>
    </x:row>
    <x:row r="15">
      <x:c r="A15" s="24" t="str">
        <x:v>fnParseJsonPayload</x:v>
      </x:c>
      <x:c r="B15" s="24" t="str">
        <x:v>Function</x:v>
      </x:c>
      <x:c r="C15" s="24" t="str">
        <x:v>text → any/record</x:v>
      </x:c>
      <x:c r="D15" s="24" t="str">
        <x:v>try-aware JSON parser</x:v>
      </x:c>
      <x:c r="E15" s="24" t="str"/>
      <x:c r="F15" s="24" t="str">
        <x:v>Not Started</x:v>
      </x:c>
    </x:row>
    <x:row r="16">
      <x:c r="A16" s="24" t="str">
        <x:v>fnParseXmlPayload</x:v>
      </x:c>
      <x:c r="B16" s="24" t="str">
        <x:v>Function</x:v>
      </x:c>
      <x:c r="C16" s="24" t="str">
        <x:v>text → any/table</x:v>
      </x:c>
      <x:c r="D16" s="24" t="str">
        <x:v>try-aware XML parser</x:v>
      </x:c>
      <x:c r="E16" s="24" t="str"/>
      <x:c r="F16" s="24" t="str">
        <x:v>Not Started</x:v>
      </x:c>
    </x:row>
  </x:sheetData>
  <x:mergeCells>
    <x:mergeCell ref="A1:F1"/>
  </x:mergeCells>
  <x:conditionalFormatting sqref="F4:F16">
    <x:cfRule type="expression" dxfId="45" priority="1">
      <x:formula>F4="Validated"</x:formula>
    </x:cfRule>
    <x:cfRule type="expression" dxfId="46" priority="2">
      <x:formula>F4="Needs Review"</x:formula>
    </x:cfRule>
    <x:cfRule type="expression" dxfId="47" priority="3">
      <x:formula>F4="In Progress"</x:formula>
    </x:cfRule>
  </x:conditionalFormatting>
  <x:dataValidations count="1">
    <x:dataValidation type="list" sqref="F4:F16">
      <x:formula1>"Not Started,In Progress,Validated,Needs Review"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84" hidden="0" customWidth="1"/>
    <x:col min="4" max="4" width="18" hidden="0" customWidth="1"/>
  </x:cols>
  <x:sheetData>
    <x:row r="1" ht="26" customHeight="1">
      <x:c r="A1" s="6" t="str">
        <x:v>M Language Concepts and Learner Explanations</x:v>
      </x:c>
      <x:c r="B1" s="6"/>
      <x:c r="C1" s="6"/>
      <x:c r="D1" s="6"/>
    </x:row>
    <x:row r="3" ht="30" customHeight="1">
      <x:c r="A3" s="16" t="str">
        <x:v>Concept</x:v>
      </x:c>
      <x:c r="B3" s="16" t="str">
        <x:v>Example</x:v>
      </x:c>
      <x:c r="C3" s="16" t="str">
        <x:v>LearnerExplanation/Observation</x:v>
      </x:c>
      <x:c r="D3" s="16" t="str">
        <x:v>Status</x:v>
      </x:c>
    </x:row>
    <x:row r="4">
      <x:c r="A4" s="24" t="str">
        <x:v>Value</x:v>
      </x:c>
      <x:c r="B4" s="24" t="str">
        <x:v>PlantID = "SVR-001"</x:v>
      </x:c>
      <x:c r="C4" s="24" t="str">
        <x:v>A scalar value can be bound to a name in let.</x:v>
      </x:c>
      <x:c r="D4" s="24" t="str">
        <x:v>Not Started</x:v>
      </x:c>
    </x:row>
    <x:row r="5">
      <x:c r="A5" s="24" t="str">
        <x:v>List</x:v>
      </x:c>
      <x:c r="B5" s="24" t="str">
        <x:v>{100.0, 105.0, 98.0}</x:v>
      </x:c>
      <x:c r="C5" s="24" t="str">
        <x:v>Ordered sequence; List.* functions operate on it.</x:v>
      </x:c>
      <x:c r="D5" s="24" t="str">
        <x:v>Not Started</x:v>
      </x:c>
    </x:row>
    <x:row r="6">
      <x:c r="A6" s="24" t="str">
        <x:v>Record</x:v>
      </x:c>
      <x:c r="B6" s="24" t="str">
        <x:v>[PlantID="SVR-001", Unit="MWh"]</x:v>
      </x:c>
      <x:c r="C6" s="24" t="str">
        <x:v>Named fields; access with [Field].</x:v>
      </x:c>
      <x:c r="D6" s="24" t="str">
        <x:v>Not Started</x:v>
      </x:c>
    </x:row>
    <x:row r="7">
      <x:c r="A7" s="24" t="str">
        <x:v>Table</x:v>
      </x:c>
      <x:c r="B7" s="24" t="str">
        <x:v>#table({"Metric","Value"}, {{"Count",3}})</x:v>
      </x:c>
      <x:c r="C7" s="24" t="str">
        <x:v>Structured rows and columns.</x:v>
      </x:c>
      <x:c r="D7" s="24" t="str">
        <x:v>Not Started</x:v>
      </x:c>
    </x:row>
    <x:row r="8">
      <x:c r="A8" s="24" t="str">
        <x:v>Function</x:v>
      </x:c>
      <x:c r="B8" s="24" t="str">
        <x:v>(x as number) as number =&gt; x * 2</x:v>
      </x:c>
      <x:c r="C8" s="24" t="str">
        <x:v>Reusable transformation with parameters.</x:v>
      </x:c>
      <x:c r="D8" s="24" t="str">
        <x:v>Not Started</x:v>
      </x:c>
    </x:row>
    <x:row r="9">
      <x:c r="A9" s="24" t="str">
        <x:v>each / _</x:v>
      </x:c>
      <x:c r="B9" s="24" t="str">
        <x:v>each Text.Trim(_)</x:v>
      </x:c>
      <x:c r="C9" s="24" t="str">
        <x:v>each is shorthand for a single-argument function; _ is the current value.</x:v>
      </x:c>
      <x:c r="D9" s="24" t="str">
        <x:v>Not Started</x:v>
      </x:c>
    </x:row>
    <x:row r="10">
      <x:c r="A10" s="24" t="str">
        <x:v>let / in</x:v>
      </x:c>
      <x:c r="B10" s="24" t="str">
        <x:v>let A = 1, B = A + 1 in B</x:v>
      </x:c>
      <x:c r="C10" s="24" t="str">
        <x:v>Steps bind names; in returns the final expression.</x:v>
      </x:c>
      <x:c r="D10" s="24" t="str">
        <x:v>Not Started</x:v>
      </x:c>
    </x:row>
    <x:row r="11">
      <x:c r="A11" s="24" t="str">
        <x:v>Step reference</x:v>
      </x:c>
      <x:c r="B11" s="24" t="str">
        <x:v>#"Changed Type"</x:v>
      </x:c>
      <x:c r="C11" s="24" t="str">
        <x:v>Quoted identifier references step names containing spaces.</x:v>
      </x:c>
      <x:c r="D11" s="24" t="str">
        <x:v>Not Started</x:v>
      </x:c>
    </x:row>
    <x:row r="12">
      <x:c r="A12" s="24" t="str">
        <x:v>try / otherwise</x:v>
      </x:c>
      <x:c r="B12" s="24" t="str">
        <x:v>try Number.FromText("five") otherwise null</x:v>
      </x:c>
      <x:c r="C12" s="24" t="str">
        <x:v>Error handling must preserve audit evidence when meaning matters.</x:v>
      </x:c>
      <x:c r="D12" s="24" t="str">
        <x:v>Not Started</x:v>
      </x:c>
    </x:row>
    <x:row r="13">
      <x:c r="A13" s="24" t="str">
        <x:v>Error record</x:v>
      </x:c>
      <x:c r="B13" s="24" t="str">
        <x:v>(try Number.FromText("five"))[Error]</x:v>
      </x:c>
      <x:c r="C13" s="24" t="str">
        <x:v>Inspect Reason/Message/Detail where present.</x:v>
      </x:c>
      <x:c r="D13" s="24" t="str">
        <x:v>Not Started</x:v>
      </x:c>
    </x:row>
    <x:row r="14">
      <x:c r="A14" s="24" t="str">
        <x:v>Comments</x:v>
      </x:c>
      <x:c r="B14" s="24" t="str">
        <x:v>// line comment  /  /* block comment */</x:v>
      </x:c>
      <x:c r="C14" s="24" t="str">
        <x:v>Document non-obvious business or resilience logic.</x:v>
      </x:c>
      <x:c r="D14" s="24" t="str">
        <x:v>Not Started</x:v>
      </x:c>
    </x:row>
    <x:row r="15">
      <x:c r="A15" s="24" t="str">
        <x:v>Core families</x:v>
      </x:c>
      <x:c r="B15" s="24" t="str">
        <x:v>Text., Number., Date., List., Record., Table.</x:v>
      </x:c>
      <x:c r="C15" s="24" t="str">
        <x:v>Use library families instead of ad hoc string manipulation.</x:v>
      </x:c>
      <x:c r="D15" s="24" t="str">
        <x:v>Not Started</x:v>
      </x:c>
    </x:row>
  </x:sheetData>
  <x:mergeCells>
    <x:mergeCell ref="A1:D1"/>
  </x:mergeCells>
  <x:conditionalFormatting sqref="D4:D15">
    <x:cfRule type="expression" dxfId="48" priority="1">
      <x:formula>D4="Validated"</x:formula>
    </x:cfRule>
    <x:cfRule type="expression" dxfId="49" priority="2">
      <x:formula>D4="Needs Review"</x:formula>
    </x:cfRule>
    <x:cfRule type="expression" dxfId="50" priority="3">
      <x:formula>D4="In Progress"</x:formula>
    </x:cfRule>
  </x:conditionalFormatting>
  <x:dataValidations count="1">
    <x:dataValidation type="list" sqref="D4:D15">
      <x:formula1>"Not Started,In Progress,Validated,Needs Review"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8" hidden="0" customWidth="1"/>
    <x:col min="4" max="4" width="22" hidden="0" customWidth="1"/>
    <x:col min="5" max="5" width="24" hidden="0" customWidth="1"/>
    <x:col min="6" max="6" width="30" hidden="0" customWidth="1"/>
    <x:col min="7" max="7" width="40" hidden="0" customWidth="1"/>
    <x:col min="8" max="8" width="24" hidden="0" customWidth="1"/>
    <x:col min="9" max="9" width="18" hidden="0" customWidth="1"/>
  </x:cols>
  <x:sheetData>
    <x:row r="1" ht="26" customHeight="1">
      <x:c r="A1" s="6" t="str">
        <x:v>Folding, Native Query and Buffering Comparison</x:v>
      </x:c>
      <x:c r="B1" s="6"/>
      <x:c r="C1" s="6"/>
      <x:c r="D1" s="6"/>
      <x:c r="E1" s="6"/>
      <x:c r="F1" s="6"/>
      <x:c r="G1" s="6"/>
      <x:c r="H1" s="6"/>
      <x:c r="I1" s="6"/>
    </x:row>
    <x:row r="3" ht="30" customHeight="1">
      <x:c r="A3" s="16" t="str">
        <x:v>Branch</x:v>
      </x:c>
      <x:c r="B3" s="16" t="str">
        <x:v>Intent</x:v>
      </x:c>
      <x:c r="C3" s="16" t="str">
        <x:v>ExpectedRows</x:v>
      </x:c>
      <x:c r="D3" s="16" t="str">
        <x:v>ExpectedActualMWh</x:v>
      </x:c>
      <x:c r="E3" s="16" t="str">
        <x:v>ExpectedForecastMWh</x:v>
      </x:c>
      <x:c r="F3" s="16" t="str">
        <x:v>FoldingEvidence</x:v>
      </x:c>
      <x:c r="G3" s="16" t="str">
        <x:v>LearnerDuration/Observation</x:v>
      </x:c>
      <x:c r="H3" s="16" t="str">
        <x:v>BusinessResultMatch</x:v>
      </x:c>
      <x:c r="I3" s="16" t="str">
        <x:v>Status</x:v>
      </x:c>
    </x:row>
    <x:row r="4">
      <x:c r="A4" s="24" t="str">
        <x:v>Perf_SQL_Folded</x:v>
      </x:c>
      <x:c r="B4" s="24" t="str">
        <x:v>Filter/select while folding</x:v>
      </x:c>
      <x:c r="C4" s="24" t="str">
        <x:v>97152</x:v>
      </x:c>
      <x:c r="D4" s="24" t="str">
        <x:v>2084353.3725</x:v>
      </x:c>
      <x:c r="E4" s="24" t="str">
        <x:v>2084352.9967</x:v>
      </x:c>
      <x:c r="F4" s="24" t="str">
        <x:v>Yes/when available</x:v>
      </x:c>
      <x:c r="G4" s="24" t="str"/>
      <x:c r="H4" s="24" t="str"/>
      <x:c r="I4" s="24" t="str">
        <x:v>Not Started</x:v>
      </x:c>
    </x:row>
    <x:row r="5">
      <x:c r="A5" s="24" t="str">
        <x:v>Perf_SQL_Unfolded</x:v>
      </x:c>
      <x:c r="B5" s="24" t="str">
        <x:v>Intentional folding boundary before equivalent filter</x:v>
      </x:c>
      <x:c r="C5" s="24" t="str">
        <x:v>97152</x:v>
      </x:c>
      <x:c r="D5" s="24" t="str">
        <x:v>2084353.3725</x:v>
      </x:c>
      <x:c r="E5" s="24" t="str">
        <x:v>2084352.9967</x:v>
      </x:c>
      <x:c r="F5" s="24" t="str">
        <x:v>No after boundary</x:v>
      </x:c>
      <x:c r="G5" s="24" t="str"/>
      <x:c r="H5" s="24" t="str"/>
      <x:c r="I5" s="24" t="str">
        <x:v>Not Started</x:v>
      </x:c>
    </x:row>
    <x:row r="6">
      <x:c r="A6" s="24" t="str">
        <x:v>Perf_SQL_Native</x:v>
      </x:c>
      <x:c r="B6" s="24" t="str">
        <x:v>Value.NativeQuery + EnableFolding=true; downstream filter</x:v>
      </x:c>
      <x:c r="C6" s="24" t="str">
        <x:v>97152</x:v>
      </x:c>
      <x:c r="D6" s="24" t="str">
        <x:v>2084353.3725</x:v>
      </x:c>
      <x:c r="E6" s="24" t="str">
        <x:v>2084352.9967</x:v>
      </x:c>
      <x:c r="F6" s="24" t="str">
        <x:v>Expected when supported</x:v>
      </x:c>
      <x:c r="G6" s="24" t="str"/>
      <x:c r="H6" s="24" t="str"/>
      <x:c r="I6" s="24" t="str">
        <x:v>Not Started</x:v>
      </x:c>
    </x:row>
    <x:row r="7">
      <x:c r="A7" s="24" t="str">
        <x:v>Perf_SQL_Buffered</x:v>
      </x:c>
      <x:c r="B7" s="24" t="str">
        <x:v>Buffering experiment; correctness must remain same</x:v>
      </x:c>
      <x:c r="C7" s="24" t="str">
        <x:v>97152</x:v>
      </x:c>
      <x:c r="D7" s="24" t="str">
        <x:v>2084353.3725</x:v>
      </x:c>
      <x:c r="E7" s="24" t="str">
        <x:v>2084352.9967</x:v>
      </x:c>
      <x:c r="F7" s="24" t="str">
        <x:v>Boundary/local evaluation</x:v>
      </x:c>
      <x:c r="G7" s="24" t="str"/>
      <x:c r="H7" s="24" t="str"/>
      <x:c r="I7" s="24" t="str">
        <x:v>Not Started</x:v>
      </x:c>
    </x:row>
  </x:sheetData>
  <x:mergeCells>
    <x:mergeCell ref="A1:I1"/>
  </x:mergeCells>
  <x:conditionalFormatting sqref="I4:I7">
    <x:cfRule type="expression" dxfId="51" priority="1">
      <x:formula>I4="Validated"</x:formula>
    </x:cfRule>
    <x:cfRule type="expression" dxfId="52" priority="2">
      <x:formula>I4="Needs Review"</x:formula>
    </x:cfRule>
    <x:cfRule type="expression" dxfId="53" priority="3">
      <x:formula>I4="In Progress"</x:formula>
    </x:cfRule>
  </x:conditionalFormatting>
  <x:dataValidations count="1">
    <x:dataValidation type="list" sqref="I4:I7">
      <x:formula1>"Not Started,In Progress,Validated,Needs Review"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8" hidden="0" customWidth="1"/>
    <x:col min="4" max="4" width="24" hidden="0" customWidth="1"/>
    <x:col min="5" max="5" width="42" hidden="0" customWidth="1"/>
    <x:col min="6" max="6" width="50" hidden="0" customWidth="1"/>
    <x:col min="7" max="7" width="18" hidden="0" customWidth="1"/>
  </x:cols>
  <x:sheetData>
    <x:row r="1" ht="26" customHeight="1">
      <x:c r="A1" s="6" t="str">
        <x:v>Query Diagnostics Evidence</x:v>
      </x:c>
      <x:c r="B1" s="6"/>
      <x:c r="C1" s="6"/>
      <x:c r="D1" s="6"/>
      <x:c r="E1" s="6"/>
      <x:c r="F1" s="6"/>
      <x:c r="G1" s="6"/>
    </x:row>
    <x:row r="3" ht="30" customHeight="1">
      <x:c r="A3" s="16" t="str">
        <x:v>Action/Query</x:v>
      </x:c>
      <x:c r="B3" s="16" t="str">
        <x:v>ObservedStep/Activity</x:v>
      </x:c>
      <x:c r="C3" s="16" t="str">
        <x:v>DataSourceQuery/Resource</x:v>
      </x:c>
      <x:c r="D3" s="16" t="str">
        <x:v>Duration/Timing</x:v>
      </x:c>
      <x:c r="E3" s="16" t="str">
        <x:v>Partition/FoldingNote</x:v>
      </x:c>
      <x:c r="F3" s="16" t="str">
        <x:v>Interpretation</x:v>
      </x:c>
      <x:c r="G3" s="16" t="str">
        <x:v>Status</x:v>
      </x:c>
    </x:row>
    <x:row r="4">
      <x:c r="A4" s="24" t="str">
        <x:v>Start Diagnostics</x:v>
      </x:c>
      <x:c r="B4" s="24" t="str"/>
      <x:c r="C4" s="24" t="str"/>
      <x:c r="D4" s="24" t="str"/>
      <x:c r="E4" s="24" t="str"/>
      <x:c r="F4" s="24" t="str"/>
      <x:c r="G4" s="24" t="str">
        <x:v>Not Started</x:v>
      </x:c>
    </x:row>
    <x:row r="5">
      <x:c r="A5" s="24" t="str">
        <x:v>Diagnose Step — folded filter</x:v>
      </x:c>
      <x:c r="B5" s="24" t="str"/>
      <x:c r="C5" s="24" t="str"/>
      <x:c r="D5" s="24" t="str"/>
      <x:c r="E5" s="24" t="str"/>
      <x:c r="F5" s="24" t="str"/>
      <x:c r="G5" s="24" t="str">
        <x:v>Not Started</x:v>
      </x:c>
    </x:row>
    <x:row r="6">
      <x:c r="A6" s="24" t="str">
        <x:v>Diagnose Step — nonfolding/buffered branch</x:v>
      </x:c>
      <x:c r="B6" s="24" t="str"/>
      <x:c r="C6" s="24" t="str"/>
      <x:c r="D6" s="24" t="str"/>
      <x:c r="E6" s="24" t="str"/>
      <x:c r="F6" s="24" t="str"/>
      <x:c r="G6" s="24" t="str">
        <x:v>Not Started</x:v>
      </x:c>
    </x:row>
    <x:row r="7">
      <x:c r="A7" s="24" t="str">
        <x:v>Stop Diagnostics</x:v>
      </x:c>
      <x:c r="B7" s="24" t="str"/>
      <x:c r="C7" s="24" t="str"/>
      <x:c r="D7" s="24" t="str"/>
      <x:c r="E7" s="24" t="str"/>
      <x:c r="F7" s="24" t="str"/>
      <x:c r="G7" s="24" t="str">
        <x:v>Not Started</x:v>
      </x:c>
    </x:row>
  </x:sheetData>
  <x:mergeCells>
    <x:mergeCell ref="A1:G1"/>
  </x:mergeCells>
  <x:conditionalFormatting sqref="G4:G7">
    <x:cfRule type="expression" dxfId="54" priority="1">
      <x:formula>G4="Validated"</x:formula>
    </x:cfRule>
    <x:cfRule type="expression" dxfId="55" priority="2">
      <x:formula>G4="Needs Review"</x:formula>
    </x:cfRule>
    <x:cfRule type="expression" dxfId="56" priority="3">
      <x:formula>G4="In Progress"</x:formula>
    </x:cfRule>
  </x:conditionalFormatting>
  <x:dataValidations count="1">
    <x:dataValidation type="list" sqref="G4:G7">
      <x:formula1>"Not Started,In Progress,Validated,Needs Review"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54" hidden="0" customWidth="1"/>
    <x:col min="4" max="4" width="18" hidden="0" customWidth="1"/>
  </x:cols>
  <x:sheetData>
    <x:row r="1" ht="26" customHeight="1">
      <x:c r="A1" s="6" t="str">
        <x:v>Incremental-Refresh Preparation Evidence</x:v>
      </x:c>
      <x:c r="B1" s="6"/>
      <x:c r="C1" s="6"/>
      <x:c r="D1" s="6"/>
    </x:row>
    <x:row r="3" ht="30" customHeight="1">
      <x:c r="A3" s="16" t="str">
        <x:v>Item</x:v>
      </x:c>
      <x:c r="B3" s="16" t="str">
        <x:v>Expected</x:v>
      </x:c>
      <x:c r="C3" s="16" t="str">
        <x:v>LearnerResult/Evidence</x:v>
      </x:c>
      <x:c r="D3" s="16" t="str">
        <x:v>Status</x:v>
      </x:c>
    </x:row>
    <x:row r="4">
      <x:c r="A4" s="24" t="str">
        <x:v>RangeStart</x:v>
      </x:c>
      <x:c r="B4" s="24" t="str">
        <x:v>2026-07-01 00:00:00</x:v>
      </x:c>
      <x:c r="C4" s="24" t="str"/>
      <x:c r="D4" s="24" t="str">
        <x:v>Not Started</x:v>
      </x:c>
    </x:row>
    <x:row r="5">
      <x:c r="A5" s="24" t="str">
        <x:v>RangeEnd</x:v>
      </x:c>
      <x:c r="B5" s="24" t="str">
        <x:v>2026-10-01 00:00:00</x:v>
      </x:c>
      <x:c r="C5" s="24" t="str"/>
      <x:c r="D5" s="24" t="str">
        <x:v>Not Started</x:v>
      </x:c>
    </x:row>
    <x:row r="6">
      <x:c r="A6" s="24" t="str">
        <x:v>Lower-bound filter</x:v>
      </x:c>
      <x:c r="B6" s="24" t="str">
        <x:v>IntervalStartUTC &gt;= RangeStart</x:v>
      </x:c>
      <x:c r="C6" s="24" t="str"/>
      <x:c r="D6" s="24" t="str">
        <x:v>Not Started</x:v>
      </x:c>
    </x:row>
    <x:row r="7">
      <x:c r="A7" s="24" t="str">
        <x:v>Upper-bound filter</x:v>
      </x:c>
      <x:c r="B7" s="24" t="str">
        <x:v>IntervalStartUTC &lt; RangeEnd</x:v>
      </x:c>
      <x:c r="C7" s="24" t="str"/>
      <x:c r="D7" s="24" t="str">
        <x:v>Not Started</x:v>
      </x:c>
    </x:row>
    <x:row r="8">
      <x:c r="A8" s="24" t="str">
        <x:v>Expected rows</x:v>
      </x:c>
      <x:c r="B8" s="24" t="str">
        <x:v>97152</x:v>
      </x:c>
      <x:c r="C8" s="24" t="str"/>
      <x:c r="D8" s="24" t="str">
        <x:v>Not Started</x:v>
      </x:c>
    </x:row>
    <x:row r="9">
      <x:c r="A9" s="24" t="str">
        <x:v>Expected ActualGenerationMWh</x:v>
      </x:c>
      <x:c r="B9" s="24" t="str">
        <x:v>2084353.3725</x:v>
      </x:c>
      <x:c r="C9" s="24" t="str"/>
      <x:c r="D9" s="24" t="str">
        <x:v>Not Started</x:v>
      </x:c>
    </x:row>
    <x:row r="10">
      <x:c r="A10" s="24" t="str">
        <x:v>Expected ForecastGenerationMWh</x:v>
      </x:c>
      <x:c r="B10" s="24" t="str">
        <x:v>2084352.9967</x:v>
      </x:c>
      <x:c r="C10" s="24" t="str"/>
      <x:c r="D10" s="24" t="str">
        <x:v>Not Started</x:v>
      </x:c>
    </x:row>
    <x:row r="11">
      <x:c r="A11" s="24" t="str">
        <x:v>Expected VarianceMWh</x:v>
      </x:c>
      <x:c r="B11" s="24" t="str">
        <x:v>0.3758</x:v>
      </x:c>
      <x:c r="C11" s="24" t="str"/>
      <x:c r="D11" s="24" t="str">
        <x:v>Not Started</x:v>
      </x:c>
    </x:row>
    <x:row r="12">
      <x:c r="A12" s="24" t="str">
        <x:v>Folding proof</x:v>
      </x:c>
      <x:c r="B12" s="24" t="str">
        <x:v>View Native Query/data source query or equivalent connector evidence</x:v>
      </x:c>
      <x:c r="C12" s="24" t="str"/>
      <x:c r="D12" s="24" t="str">
        <x:v>Not Started</x:v>
      </x:c>
    </x:row>
    <x:row r="13">
      <x:c r="A13" s="24" t="str">
        <x:v>Service policy</x:v>
      </x:c>
      <x:c r="B13" s="24" t="str">
        <x:v>Do not configure in Module 3</x:v>
      </x:c>
      <x:c r="C13" s="24" t="str"/>
      <x:c r="D13" s="24" t="str">
        <x:v>Not Started</x:v>
      </x:c>
    </x:row>
  </x:sheetData>
  <x:mergeCells>
    <x:mergeCell ref="A1:D1"/>
  </x:mergeCells>
  <x:conditionalFormatting sqref="D4:D13">
    <x:cfRule type="expression" dxfId="57" priority="1">
      <x:formula>D4="Validated"</x:formula>
    </x:cfRule>
    <x:cfRule type="expression" dxfId="58" priority="2">
      <x:formula>D4="Needs Review"</x:formula>
    </x:cfRule>
    <x:cfRule type="expression" dxfId="59" priority="3">
      <x:formula>D4="In Progress"</x:formula>
    </x:cfRule>
  </x:conditionalFormatting>
  <x:dataValidations count="1">
    <x:dataValidation type="list" sqref="D4:D13">
      <x:formula1>"Not Started,In Progress,Validated,Needs Review"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52" hidden="0" customWidth="1"/>
    <x:col min="4" max="4" width="62" hidden="0" customWidth="1"/>
    <x:col min="5" max="5" width="58" hidden="0" customWidth="1"/>
    <x:col min="6" max="6" width="18" hidden="0" customWidth="1"/>
  </x:cols>
  <x:sheetData>
    <x:row r="1" ht="26" customHeight="1">
      <x:c r="A1" s="6" t="str">
        <x:v>Controlled Schema-Drift Failure and Recovery</x:v>
      </x:c>
      <x:c r="B1" s="6"/>
      <x:c r="C1" s="6"/>
      <x:c r="D1" s="6"/>
      <x:c r="E1" s="6"/>
      <x:c r="F1" s="6"/>
    </x:row>
    <x:row r="3" ht="30" customHeight="1">
      <x:c r="A3" s="16" t="str">
        <x:v>Variant</x:v>
      </x:c>
      <x:c r="B3" s="16" t="str">
        <x:v>FrozenChange</x:v>
      </x:c>
      <x:c r="C3" s="16" t="str">
        <x:v>ExpectedSymptom</x:v>
      </x:c>
      <x:c r="D3" s="16" t="str">
        <x:v>RequiredHealthyProof</x:v>
      </x:c>
      <x:c r="E3" s="16" t="str">
        <x:v>LearnerRootCause/Repair</x:v>
      </x:c>
      <x:c r="F3" s="16" t="str">
        <x:v>Status</x:v>
      </x:c>
    </x:row>
    <x:row r="4">
      <x:c r="A4" s="24" t="str">
        <x:v>Renamed_Column</x:v>
      </x:c>
      <x:c r="B4" s="24" t="str">
        <x:v>PlantID → PlantIdentifier in July</x:v>
      </x:c>
      <x:c r="C4" s="24" t="str">
        <x:v>Missing-column contract failure</x:v>
      </x:c>
      <x:c r="D4" s="24" t="str">
        <x:v>Explicitly map/rename the changed field and revalidate 341 July rows</x:v>
      </x:c>
      <x:c r="E4" s="24" t="str"/>
      <x:c r="F4" s="24" t="str">
        <x:v>Not Started</x:v>
      </x:c>
    </x:row>
    <x:row r="5">
      <x:c r="A5" s="24" t="str">
        <x:v>Added_Column</x:v>
      </x:c>
      <x:c r="B5" s="24" t="str">
        <x:v>2026-10 target month appears</x:v>
      </x:c>
      <x:c r="C5" s="24" t="str">
        <x:v>Hard-coded selected-column unpivot misses new month</x:v>
      </x:c>
      <x:c r="D5" s="24" t="str">
        <x:v>Unpivot Other Columns captures October; 92 long rows</x:v>
      </x:c>
      <x:c r="E5" s="24" t="str"/>
      <x:c r="F5" s="24" t="str">
        <x:v>Not Started</x:v>
      </x:c>
    </x:row>
    <x:row r="6">
      <x:c r="A6" s="24" t="str">
        <x:v>Reordered_Columns</x:v>
      </x:c>
      <x:c r="B6" s="24" t="str">
        <x:v>August fields physically reordered</x:v>
      </x:c>
      <x:c r="C6" s="24" t="str">
        <x:v>Order-dependent logic is fragile</x:v>
      </x:c>
      <x:c r="D6" s="24" t="str">
        <x:v>Name-based selection/type steps still return 341 rows</x:v>
      </x:c>
      <x:c r="E6" s="24" t="str"/>
      <x:c r="F6" s="24" t="str">
        <x:v>Not Started</x:v>
      </x:c>
    </x:row>
    <x:row r="7">
      <x:c r="A7" s="24" t="str">
        <x:v>Changed_Type</x:v>
      </x:c>
      <x:c r="B7" s="24" t="str">
        <x:v>One Sep ActualGenerationMWh = not_available</x:v>
      </x:c>
      <x:c r="C7" s="24" t="str">
        <x:v>Automatic Changed Type produces an error</x:v>
      </x:c>
      <x:c r="D7" s="24" t="str">
        <x:v>Audit the type failure; do not silently replace unknown generation with zero</x:v>
      </x:c>
      <x:c r="E7" s="24" t="str"/>
      <x:c r="F7" s="24" t="str">
        <x:v>Not Started</x:v>
      </x:c>
    </x:row>
    <x:row r="8">
      <x:c r="A8" s="24" t="str">
        <x:v>New_Folder_Layout</x:v>
      </x:c>
      <x:c r="B8" s="24" t="str">
        <x:v>September moves to 2026/Q3 subfolder</x:v>
      </x:c>
      <x:c r="C8" s="24" t="str">
        <x:v>Nonrecursive folder path loses September</x:v>
      </x:c>
      <x:c r="D8" s="24" t="str">
        <x:v>Use intentional recursive enumeration; recover all 1,012 business rows</x:v>
      </x:c>
      <x:c r="E8" s="24" t="str"/>
      <x:c r="F8" s="24" t="str">
        <x:v>Not Started</x:v>
      </x:c>
    </x:row>
  </x:sheetData>
  <x:mergeCells>
    <x:mergeCell ref="A1:F1"/>
  </x:mergeCells>
  <x:conditionalFormatting sqref="F4:F8">
    <x:cfRule type="expression" dxfId="60" priority="1">
      <x:formula>F4="Validated"</x:formula>
    </x:cfRule>
    <x:cfRule type="expression" dxfId="61" priority="2">
      <x:formula>F4="Needs Review"</x:formula>
    </x:cfRule>
    <x:cfRule type="expression" dxfId="62" priority="3">
      <x:formula>F4="In Progress"</x:formula>
    </x:cfRule>
  </x:conditionalFormatting>
  <x:dataValidations count="1">
    <x:dataValidation type="list" sqref="F4:F8">
      <x:formula1>"Not Started,In Progress,Validated,Needs Review"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46" hidden="0" customWidth="1"/>
    <x:col min="5" max="5" width="48" hidden="0" customWidth="1"/>
    <x:col min="6" max="6" width="54" hidden="0" customWidth="1"/>
    <x:col min="7" max="7" width="42" hidden="0" customWidth="1"/>
    <x:col min="8" max="8" width="18" hidden="0" customWidth="1"/>
  </x:cols>
  <x:sheetData>
    <x:row r="1" ht="26" customHeight="1">
      <x:c r="A1" s="6" t="str">
        <x:v>Privacy Levels and Formula.Firewall Diagnosis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Scenario</x:v>
      </x:c>
      <x:c r="B3" s="16" t="str">
        <x:v>SourceAPrivacy</x:v>
      </x:c>
      <x:c r="C3" s="16" t="str">
        <x:v>SourceBPrivacy</x:v>
      </x:c>
      <x:c r="D3" s="16" t="str">
        <x:v>ObservedSymptom</x:v>
      </x:c>
      <x:c r="E3" s="16" t="str">
        <x:v>Partition/Evidence</x:v>
      </x:c>
      <x:c r="F3" s="16" t="str">
        <x:v>Repair/Architecture</x:v>
      </x:c>
      <x:c r="G3" s="16" t="str">
        <x:v>Revalidation</x:v>
      </x:c>
      <x:c r="H3" s="16" t="str">
        <x:v>Status</x:v>
      </x:c>
    </x:row>
    <x:row r="4">
      <x:c r="A4" s="24" t="str">
        <x:v>SQL + local file combination</x:v>
      </x:c>
      <x:c r="B4" s="24" t="str"/>
      <x:c r="C4" s="24" t="str"/>
      <x:c r="D4" s="24" t="str"/>
      <x:c r="E4" s="24" t="str"/>
      <x:c r="F4" s="24" t="str"/>
      <x:c r="G4" s="24" t="str"/>
      <x:c r="H4" s="24" t="str">
        <x:v>Not Started</x:v>
      </x:c>
    </x:row>
    <x:row r="5">
      <x:c r="A5" s="24" t="str">
        <x:v>SQL + Web combination (if live endpoint available)</x:v>
      </x:c>
      <x:c r="B5" s="24" t="str"/>
      <x:c r="C5" s="24" t="str"/>
      <x:c r="D5" s="24" t="str"/>
      <x:c r="E5" s="24" t="str"/>
      <x:c r="F5" s="24" t="str"/>
      <x:c r="G5" s="24" t="str"/>
      <x:c r="H5" s="24" t="str">
        <x:v>Not Started</x:v>
      </x:c>
    </x:row>
  </x:sheetData>
  <x:mergeCells>
    <x:mergeCell ref="A1:H1"/>
  </x:mergeCells>
  <x:conditionalFormatting sqref="H4:H5">
    <x:cfRule type="expression" dxfId="63" priority="1">
      <x:formula>H4="Validated"</x:formula>
    </x:cfRule>
    <x:cfRule type="expression" dxfId="64" priority="2">
      <x:formula>H4="Needs Review"</x:formula>
    </x:cfRule>
    <x:cfRule type="expression" dxfId="65" priority="3">
      <x:formula>H4="In Progress"</x:formula>
    </x:cfRule>
  </x:conditionalFormatting>
  <x:dataValidations count="1">
    <x:dataValidation type="list" sqref="H4:H5">
      <x:formula1>"Not Started,In Progress,Validated,Needs Review"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0" hidden="0" customWidth="1"/>
    <x:col min="5" max="5" width="76" hidden="0" customWidth="1"/>
    <x:col min="6" max="6" width="32" hidden="0" customWidth="1"/>
    <x:col min="7" max="7" width="18" hidden="0" customWidth="1"/>
  </x:cols>
  <x:sheetData>
    <x:row r="1" ht="26" customHeight="1">
      <x:c r="A1" s="6" t="str">
        <x:v>M-Generated Date and Time Preparation</x:v>
      </x:c>
      <x:c r="B1" s="6"/>
      <x:c r="C1" s="6"/>
      <x:c r="D1" s="6"/>
      <x:c r="E1" s="6"/>
      <x:c r="F1" s="6"/>
      <x:c r="G1" s="6"/>
    </x:row>
    <x:row r="3" ht="30" customHeight="1">
      <x:c r="A3" s="16" t="str">
        <x:v>Output</x:v>
      </x:c>
      <x:c r="B3" s="16" t="str">
        <x:v>ExpectedRows</x:v>
      </x:c>
      <x:c r="C3" s="16" t="str">
        <x:v>Start</x:v>
      </x:c>
      <x:c r="D3" s="16" t="str">
        <x:v>End</x:v>
      </x:c>
      <x:c r="E3" s="16" t="str">
        <x:v>MinimumFields</x:v>
      </x:c>
      <x:c r="F3" s="16" t="str">
        <x:v>LearnerRows/Observation</x:v>
      </x:c>
      <x:c r="G3" s="16" t="str">
        <x:v>Status</x:v>
      </x:c>
    </x:row>
    <x:row r="4">
      <x:c r="A4" s="24" t="str">
        <x:v>Date_Prepared</x:v>
      </x:c>
      <x:c r="B4" s="24" t="n">
        <x:v>92</x:v>
      </x:c>
      <x:c r="C4" s="24" t="str">
        <x:v>2026-07-01</x:v>
      </x:c>
      <x:c r="D4" s="24" t="str">
        <x:v>2026-09-30</x:v>
      </x:c>
      <x:c r="E4" s="24" t="str">
        <x:v>Date, Year, Quarter, MonthNumber, MonthName, YearMonth, Day, DayName, DayOfWeek, IsWeekend</x:v>
      </x:c>
      <x:c r="F4" s="24" t="str"/>
      <x:c r="G4" s="24" t="str">
        <x:v>Not Started</x:v>
      </x:c>
    </x:row>
    <x:row r="5">
      <x:c r="A5" s="24" t="str">
        <x:v>Time_Prepared</x:v>
      </x:c>
      <x:c r="B5" s="24" t="n">
        <x:v>96</x:v>
      </x:c>
      <x:c r="C5" s="24" t="str">
        <x:v>00:00</x:v>
      </x:c>
      <x:c r="D5" s="24" t="str">
        <x:v>23:45</x:v>
      </x:c>
      <x:c r="E5" s="24" t="str">
        <x:v>TimeKey/Index, Time, Hour, Minute, QuarterHourLabel/Index</x:v>
      </x:c>
      <x:c r="F5" s="24" t="str"/>
      <x:c r="G5" s="24" t="str">
        <x:v>Not Started</x:v>
      </x:c>
    </x:row>
  </x:sheetData>
  <x:mergeCells>
    <x:mergeCell ref="A1:G1"/>
  </x:mergeCells>
  <x:conditionalFormatting sqref="G4:G5">
    <x:cfRule type="expression" dxfId="66" priority="1">
      <x:formula>G4="Validated"</x:formula>
    </x:cfRule>
    <x:cfRule type="expression" dxfId="67" priority="2">
      <x:formula>G4="Needs Review"</x:formula>
    </x:cfRule>
    <x:cfRule type="expression" dxfId="68" priority="3">
      <x:formula>G4="In Progress"</x:formula>
    </x:cfRule>
  </x:conditionalFormatting>
  <x:dataValidations count="1">
    <x:dataValidation type="list" sqref="G4:G5">
      <x:formula1>"Not Started,In Progress,Validated,Needs Review"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6" hidden="0" customWidth="1"/>
    <x:col min="4" max="4" width="20" hidden="0" customWidth="1"/>
    <x:col min="5" max="5" width="22" hidden="0" customWidth="1"/>
    <x:col min="6" max="6" width="18" hidden="0" customWidth="1"/>
  </x:cols>
  <x:sheetData>
    <x:row r="1" ht="26" customHeight="1">
      <x:c r="A1" s="6" t="str">
        <x:v>Enable Load and Include in Report Refresh Decisions</x:v>
      </x:c>
      <x:c r="B1" s="6"/>
      <x:c r="C1" s="6"/>
      <x:c r="D1" s="6"/>
      <x:c r="E1" s="6"/>
      <x:c r="F1" s="6"/>
    </x:row>
    <x:row r="3" ht="30" customHeight="1">
      <x:c r="A3" s="16" t="str">
        <x:v>Query</x:v>
      </x:c>
      <x:c r="B3" s="16" t="str">
        <x:v>EnableLoadExpected</x:v>
      </x:c>
      <x:c r="C3" s="16" t="str">
        <x:v>IncludeRefreshExpected</x:v>
      </x:c>
      <x:c r="D3" s="16" t="str">
        <x:v>LearnerLoad</x:v>
      </x:c>
      <x:c r="E3" s="16" t="str">
        <x:v>LearnerRefresh</x:v>
      </x:c>
      <x:c r="F3" s="16" t="str">
        <x:v>Status</x:v>
      </x:c>
    </x:row>
    <x:row r="4">
      <x:c r="A4" s="24" t="str">
        <x:v>RangeStart</x:v>
      </x:c>
      <x:c r="B4" s="24" t="str">
        <x:v>Disabled</x:v>
      </x:c>
      <x:c r="C4" s="24" t="str">
        <x:v>N/A</x:v>
      </x:c>
      <x:c r="D4" s="24" t="str"/>
      <x:c r="E4" s="24" t="str"/>
      <x:c r="F4" s="24" t="str">
        <x:v>Not Started</x:v>
      </x:c>
    </x:row>
    <x:row r="5">
      <x:c r="A5" s="24" t="str">
        <x:v>RangeEnd</x:v>
      </x:c>
      <x:c r="B5" s="24" t="str">
        <x:v>Disabled</x:v>
      </x:c>
      <x:c r="C5" s="24" t="str">
        <x:v>N/A</x:v>
      </x:c>
      <x:c r="D5" s="24" t="str"/>
      <x:c r="E5" s="24" t="str"/>
      <x:c r="F5" s="24" t="str">
        <x:v>Not Started</x:v>
      </x:c>
    </x:row>
    <x:row r="6">
      <x:c r="A6" s="24" t="str">
        <x:v>stg_SQL_Regions</x:v>
      </x:c>
      <x:c r="B6" s="24" t="str">
        <x:v>Disabled</x:v>
      </x:c>
      <x:c r="C6" s="24" t="str">
        <x:v>Enabled</x:v>
      </x:c>
      <x:c r="D6" s="24" t="str"/>
      <x:c r="E6" s="24" t="str"/>
      <x:c r="F6" s="24" t="str">
        <x:v>Not Started</x:v>
      </x:c>
    </x:row>
    <x:row r="7">
      <x:c r="A7" s="24" t="str">
        <x:v>stg_SQL_Technologies</x:v>
      </x:c>
      <x:c r="B7" s="24" t="str">
        <x:v>Disabled</x:v>
      </x:c>
      <x:c r="C7" s="24" t="str">
        <x:v>Enabled</x:v>
      </x:c>
      <x:c r="D7" s="24" t="str"/>
      <x:c r="E7" s="24" t="str"/>
      <x:c r="F7" s="24" t="str">
        <x:v>Not Started</x:v>
      </x:c>
    </x:row>
    <x:row r="8">
      <x:c r="A8" s="24" t="str">
        <x:v>stg_SQL_Plants</x:v>
      </x:c>
      <x:c r="B8" s="24" t="str">
        <x:v>Disabled</x:v>
      </x:c>
      <x:c r="C8" s="24" t="str">
        <x:v>Enabled</x:v>
      </x:c>
      <x:c r="D8" s="24" t="str"/>
      <x:c r="E8" s="24" t="str"/>
      <x:c r="F8" s="24" t="str">
        <x:v>Not Started</x:v>
      </x:c>
    </x:row>
    <x:row r="9">
      <x:c r="A9" s="24" t="str">
        <x:v>stg_SQL_IntervalGeneration</x:v>
      </x:c>
      <x:c r="B9" s="24" t="str">
        <x:v>Disabled</x:v>
      </x:c>
      <x:c r="C9" s="24" t="str">
        <x:v>Enabled</x:v>
      </x:c>
      <x:c r="D9" s="24" t="str"/>
      <x:c r="E9" s="24" t="str"/>
      <x:c r="F9" s="24" t="str">
        <x:v>Not Started</x:v>
      </x:c>
    </x:row>
    <x:row r="10">
      <x:c r="A10" s="24" t="str">
        <x:v>stg_Maintenance_Raw</x:v>
      </x:c>
      <x:c r="B10" s="24" t="str">
        <x:v>Disabled</x:v>
      </x:c>
      <x:c r="C10" s="24" t="str">
        <x:v>Enabled</x:v>
      </x:c>
      <x:c r="D10" s="24" t="str"/>
      <x:c r="E10" s="24" t="str"/>
      <x:c r="F10" s="24" t="str">
        <x:v>Not Started</x:v>
      </x:c>
    </x:row>
    <x:row r="11">
      <x:c r="A11" s="24" t="str">
        <x:v>stg_SupplierMaster_Raw</x:v>
      </x:c>
      <x:c r="B11" s="24" t="str">
        <x:v>Disabled</x:v>
      </x:c>
      <x:c r="C11" s="24" t="str">
        <x:v>Enabled</x:v>
      </x:c>
      <x:c r="D11" s="24" t="str"/>
      <x:c r="E11" s="24" t="str"/>
      <x:c r="F11" s="24" t="str">
        <x:v>Not Started</x:v>
      </x:c>
    </x:row>
    <x:row r="12">
      <x:c r="A12" s="24" t="str">
        <x:v>stg_SupplierActivity_Raw</x:v>
      </x:c>
      <x:c r="B12" s="24" t="str">
        <x:v>Disabled</x:v>
      </x:c>
      <x:c r="C12" s="24" t="str">
        <x:v>Enabled</x:v>
      </x:c>
      <x:c r="D12" s="24" t="str"/>
      <x:c r="E12" s="24" t="str"/>
      <x:c r="F12" s="24" t="str">
        <x:v>Not Started</x:v>
      </x:c>
    </x:row>
    <x:row r="13">
      <x:c r="A13" s="24" t="str">
        <x:v>stg_SupplierTransform_Raw</x:v>
      </x:c>
      <x:c r="B13" s="24" t="str">
        <x:v>Disabled</x:v>
      </x:c>
      <x:c r="C13" s="24" t="str">
        <x:v>Enabled</x:v>
      </x:c>
      <x:c r="D13" s="24" t="str"/>
      <x:c r="E13" s="24" t="str"/>
      <x:c r="F13" s="24" t="str">
        <x:v>Not Started</x:v>
      </x:c>
    </x:row>
    <x:row r="14">
      <x:c r="A14" s="24" t="str">
        <x:v>stg_TargetsWide_Raw</x:v>
      </x:c>
      <x:c r="B14" s="24" t="str">
        <x:v>Disabled</x:v>
      </x:c>
      <x:c r="C14" s="24" t="str">
        <x:v>Enabled</x:v>
      </x:c>
      <x:c r="D14" s="24" t="str"/>
      <x:c r="E14" s="24" t="str"/>
      <x:c r="F14" s="24" t="str">
        <x:v>Not Started</x:v>
      </x:c>
    </x:row>
    <x:row r="15">
      <x:c r="A15" s="24" t="str">
        <x:v>stg_PlantExtractFiles</x:v>
      </x:c>
      <x:c r="B15" s="24" t="str">
        <x:v>Disabled</x:v>
      </x:c>
      <x:c r="C15" s="24" t="str">
        <x:v>Enabled</x:v>
      </x:c>
      <x:c r="D15" s="24" t="str"/>
      <x:c r="E15" s="24" t="str"/>
      <x:c r="F15" s="24" t="str">
        <x:v>Not Started</x:v>
      </x:c>
    </x:row>
    <x:row r="16">
      <x:c r="A16" s="24" t="str">
        <x:v>stg_WeatherJson_Raw</x:v>
      </x:c>
      <x:c r="B16" s="24" t="str">
        <x:v>Disabled</x:v>
      </x:c>
      <x:c r="C16" s="24" t="str">
        <x:v>Enabled</x:v>
      </x:c>
      <x:c r="D16" s="24" t="str"/>
      <x:c r="E16" s="24" t="str"/>
      <x:c r="F16" s="24" t="str">
        <x:v>Not Started</x:v>
      </x:c>
    </x:row>
    <x:row r="17">
      <x:c r="A17" s="24" t="str">
        <x:v>stg_MaintenanceXml_Raw</x:v>
      </x:c>
      <x:c r="B17" s="24" t="str">
        <x:v>Disabled</x:v>
      </x:c>
      <x:c r="C17" s="24" t="str">
        <x:v>Enabled</x:v>
      </x:c>
      <x:c r="D17" s="24" t="str"/>
      <x:c r="E17" s="24" t="str"/>
      <x:c r="F17" s="24" t="str">
        <x:v>Not Started</x:v>
      </x:c>
    </x:row>
    <x:row r="18">
      <x:c r="A18" s="24" t="str">
        <x:v>stg_PayloadColumns_Raw</x:v>
      </x:c>
      <x:c r="B18" s="24" t="str">
        <x:v>Disabled</x:v>
      </x:c>
      <x:c r="C18" s="24" t="str">
        <x:v>Enabled</x:v>
      </x:c>
      <x:c r="D18" s="24" t="str"/>
      <x:c r="E18" s="24" t="str"/>
      <x:c r="F18" s="24" t="str">
        <x:v>Not Started</x:v>
      </x:c>
    </x:row>
    <x:row r="19">
      <x:c r="A19" s="24" t="str">
        <x:v>fnTransformPlantExtract</x:v>
      </x:c>
      <x:c r="B19" s="24" t="str">
        <x:v>Disabled</x:v>
      </x:c>
      <x:c r="C19" s="24" t="str">
        <x:v>N/A</x:v>
      </x:c>
      <x:c r="D19" s="24" t="str"/>
      <x:c r="E19" s="24" t="str"/>
      <x:c r="F19" s="24" t="str">
        <x:v>Not Started</x:v>
      </x:c>
    </x:row>
    <x:row r="20">
      <x:c r="A20" s="24" t="str">
        <x:v>fnNormalizeSupplierName</x:v>
      </x:c>
      <x:c r="B20" s="24" t="str">
        <x:v>Disabled</x:v>
      </x:c>
      <x:c r="C20" s="24" t="str">
        <x:v>N/A</x:v>
      </x:c>
      <x:c r="D20" s="24" t="str"/>
      <x:c r="E20" s="24" t="str"/>
      <x:c r="F20" s="24" t="str">
        <x:v>Not Started</x:v>
      </x:c>
    </x:row>
    <x:row r="21">
      <x:c r="A21" s="24" t="str">
        <x:v>fnGetApiPage</x:v>
      </x:c>
      <x:c r="B21" s="24" t="str">
        <x:v>Disabled</x:v>
      </x:c>
      <x:c r="C21" s="24" t="str">
        <x:v>N/A</x:v>
      </x:c>
      <x:c r="D21" s="24" t="str"/>
      <x:c r="E21" s="24" t="str"/>
      <x:c r="F21" s="24" t="str">
        <x:v>Not Started</x:v>
      </x:c>
    </x:row>
    <x:row r="22">
      <x:c r="A22" s="24" t="str">
        <x:v>fnParseJsonPayload</x:v>
      </x:c>
      <x:c r="B22" s="24" t="str">
        <x:v>Disabled</x:v>
      </x:c>
      <x:c r="C22" s="24" t="str">
        <x:v>N/A</x:v>
      </x:c>
      <x:c r="D22" s="24" t="str"/>
      <x:c r="E22" s="24" t="str"/>
      <x:c r="F22" s="24" t="str">
        <x:v>Not Started</x:v>
      </x:c>
    </x:row>
    <x:row r="23">
      <x:c r="A23" s="24" t="str">
        <x:v>fnParseXmlPayload</x:v>
      </x:c>
      <x:c r="B23" s="24" t="str">
        <x:v>Disabled</x:v>
      </x:c>
      <x:c r="C23" s="24" t="str">
        <x:v>N/A</x:v>
      </x:c>
      <x:c r="D23" s="24" t="str"/>
      <x:c r="E23" s="24" t="str"/>
      <x:c r="F23" s="24" t="str">
        <x:v>Not Started</x:v>
      </x:c>
    </x:row>
    <x:row r="24">
      <x:c r="A24" s="24" t="str">
        <x:v>Regions_Prepared</x:v>
      </x:c>
      <x:c r="B24" s="24" t="str">
        <x:v>Enabled</x:v>
      </x:c>
      <x:c r="C24" s="24" t="str">
        <x:v>Enabled</x:v>
      </x:c>
      <x:c r="D24" s="24" t="str"/>
      <x:c r="E24" s="24" t="str"/>
      <x:c r="F24" s="24" t="str">
        <x:v>Not Started</x:v>
      </x:c>
    </x:row>
    <x:row r="25">
      <x:c r="A25" s="24" t="str">
        <x:v>Plants_Prepared</x:v>
      </x:c>
      <x:c r="B25" s="24" t="str">
        <x:v>Enabled</x:v>
      </x:c>
      <x:c r="C25" s="24" t="str">
        <x:v>Enabled</x:v>
      </x:c>
      <x:c r="D25" s="24" t="str"/>
      <x:c r="E25" s="24" t="str"/>
      <x:c r="F25" s="24" t="str">
        <x:v>Not Started</x:v>
      </x:c>
    </x:row>
    <x:row r="26">
      <x:c r="A26" s="24" t="str">
        <x:v>Generation_Prepared</x:v>
      </x:c>
      <x:c r="B26" s="24" t="str">
        <x:v>Enabled</x:v>
      </x:c>
      <x:c r="C26" s="24" t="str">
        <x:v>Enabled</x:v>
      </x:c>
      <x:c r="D26" s="24" t="str"/>
      <x:c r="E26" s="24" t="str"/>
      <x:c r="F26" s="24" t="str">
        <x:v>Not Started</x:v>
      </x:c>
    </x:row>
    <x:row r="27">
      <x:c r="A27" s="24" t="str">
        <x:v>Maintenance_Prepared</x:v>
      </x:c>
      <x:c r="B27" s="24" t="str">
        <x:v>Enabled</x:v>
      </x:c>
      <x:c r="C27" s="24" t="str">
        <x:v>Enabled</x:v>
      </x:c>
      <x:c r="D27" s="24" t="str"/>
      <x:c r="E27" s="24" t="str"/>
      <x:c r="F27" s="24" t="str">
        <x:v>Not Started</x:v>
      </x:c>
    </x:row>
    <x:row r="28">
      <x:c r="A28" s="24" t="str">
        <x:v>Targets_Prepared</x:v>
      </x:c>
      <x:c r="B28" s="24" t="str">
        <x:v>Enabled</x:v>
      </x:c>
      <x:c r="C28" s="24" t="str">
        <x:v>Enabled</x:v>
      </x:c>
      <x:c r="D28" s="24" t="str"/>
      <x:c r="E28" s="24" t="str"/>
      <x:c r="F28" s="24" t="str">
        <x:v>Not Started</x:v>
      </x:c>
    </x:row>
    <x:row r="29">
      <x:c r="A29" s="24" t="str">
        <x:v>Suppliers_Prepared</x:v>
      </x:c>
      <x:c r="B29" s="24" t="str">
        <x:v>Enabled</x:v>
      </x:c>
      <x:c r="C29" s="24" t="str">
        <x:v>Enabled</x:v>
      </x:c>
      <x:c r="D29" s="24" t="str"/>
      <x:c r="E29" s="24" t="str"/>
      <x:c r="F29" s="24" t="str">
        <x:v>Not Started</x:v>
      </x:c>
    </x:row>
    <x:row r="30">
      <x:c r="A30" s="24" t="str">
        <x:v>SupplierActivity_Prepared</x:v>
      </x:c>
      <x:c r="B30" s="24" t="str">
        <x:v>Enabled</x:v>
      </x:c>
      <x:c r="C30" s="24" t="str">
        <x:v>Enabled</x:v>
      </x:c>
      <x:c r="D30" s="24" t="str"/>
      <x:c r="E30" s="24" t="str"/>
      <x:c r="F30" s="24" t="str">
        <x:v>Not Started</x:v>
      </x:c>
    </x:row>
    <x:row r="31">
      <x:c r="A31" s="24" t="str">
        <x:v>Weather_Prepared</x:v>
      </x:c>
      <x:c r="B31" s="24" t="str">
        <x:v>Enabled</x:v>
      </x:c>
      <x:c r="C31" s="24" t="str">
        <x:v>Enabled</x:v>
      </x:c>
      <x:c r="D31" s="24" t="str"/>
      <x:c r="E31" s="24" t="str"/>
      <x:c r="F31" s="24" t="str">
        <x:v>Not Started</x:v>
      </x:c>
    </x:row>
    <x:row r="32">
      <x:c r="A32" s="24" t="str">
        <x:v>ApiOperations_Prepared</x:v>
      </x:c>
      <x:c r="B32" s="24" t="str">
        <x:v>Enabled</x:v>
      </x:c>
      <x:c r="C32" s="24" t="str">
        <x:v>Enabled</x:v>
      </x:c>
      <x:c r="D32" s="24" t="str"/>
      <x:c r="E32" s="24" t="str"/>
      <x:c r="F32" s="24" t="str">
        <x:v>Not Started</x:v>
      </x:c>
    </x:row>
    <x:row r="33">
      <x:c r="A33" s="24" t="str">
        <x:v>Date_Prepared</x:v>
      </x:c>
      <x:c r="B33" s="24" t="str">
        <x:v>Enabled</x:v>
      </x:c>
      <x:c r="C33" s="24" t="str">
        <x:v>Enabled</x:v>
      </x:c>
      <x:c r="D33" s="24" t="str"/>
      <x:c r="E33" s="24" t="str"/>
      <x:c r="F33" s="24" t="str">
        <x:v>Not Started</x:v>
      </x:c>
    </x:row>
    <x:row r="34">
      <x:c r="A34" s="24" t="str">
        <x:v>Time_Prepared</x:v>
      </x:c>
      <x:c r="B34" s="24" t="str">
        <x:v>Enabled</x:v>
      </x:c>
      <x:c r="C34" s="24" t="str">
        <x:v>Enabled</x:v>
      </x:c>
      <x:c r="D34" s="24" t="str"/>
      <x:c r="E34" s="24" t="str"/>
      <x:c r="F34" s="24" t="str">
        <x:v>Not Started</x:v>
      </x:c>
    </x:row>
    <x:row r="35">
      <x:c r="A35" s="24" t="str">
        <x:v>Audit_MaintenanceErrors</x:v>
      </x:c>
      <x:c r="B35" s="24" t="str">
        <x:v>Disabled</x:v>
      </x:c>
      <x:c r="C35" s="24" t="str">
        <x:v>Enabled</x:v>
      </x:c>
      <x:c r="D35" s="24" t="str"/>
      <x:c r="E35" s="24" t="str"/>
      <x:c r="F35" s="24" t="str">
        <x:v>Not Started</x:v>
      </x:c>
    </x:row>
    <x:row r="36">
      <x:c r="A36" s="24" t="str">
        <x:v>Audit_SupplierUnmatched</x:v>
      </x:c>
      <x:c r="B36" s="24" t="str">
        <x:v>Disabled</x:v>
      </x:c>
      <x:c r="C36" s="24" t="str">
        <x:v>Enabled</x:v>
      </x:c>
      <x:c r="D36" s="24" t="str"/>
      <x:c r="E36" s="24" t="str"/>
      <x:c r="F36" s="24" t="str">
        <x:v>Not Started</x:v>
      </x:c>
    </x:row>
    <x:row r="37">
      <x:c r="A37" s="24" t="str">
        <x:v>Audit_FolderSchema</x:v>
      </x:c>
      <x:c r="B37" s="24" t="str">
        <x:v>Disabled</x:v>
      </x:c>
      <x:c r="C37" s="24" t="str">
        <x:v>Enabled</x:v>
      </x:c>
      <x:c r="D37" s="24" t="str"/>
      <x:c r="E37" s="24" t="str"/>
      <x:c r="F37" s="24" t="str">
        <x:v>Not Started</x:v>
      </x:c>
    </x:row>
    <x:row r="38">
      <x:c r="A38" s="24" t="str">
        <x:v>Audit_ApiPages</x:v>
      </x:c>
      <x:c r="B38" s="24" t="str">
        <x:v>Disabled</x:v>
      </x:c>
      <x:c r="C38" s="24" t="str">
        <x:v>Enabled</x:v>
      </x:c>
      <x:c r="D38" s="24" t="str"/>
      <x:c r="E38" s="24" t="str"/>
      <x:c r="F38" s="24" t="str">
        <x:v>Not Started</x:v>
      </x:c>
    </x:row>
    <x:row r="39">
      <x:c r="A39" s="24" t="str">
        <x:v>Audit_TypeFailures</x:v>
      </x:c>
      <x:c r="B39" s="24" t="str">
        <x:v>Disabled</x:v>
      </x:c>
      <x:c r="C39" s="24" t="str">
        <x:v>Enabled</x:v>
      </x:c>
      <x:c r="D39" s="24" t="str"/>
      <x:c r="E39" s="24" t="str"/>
      <x:c r="F39" s="24" t="str">
        <x:v>Not Started</x:v>
      </x:c>
    </x:row>
  </x:sheetData>
  <x:mergeCells>
    <x:mergeCell ref="A1:F1"/>
  </x:mergeCells>
  <x:conditionalFormatting sqref="F4:F39">
    <x:cfRule type="expression" dxfId="69" priority="1">
      <x:formula>F4="Validated"</x:formula>
    </x:cfRule>
    <x:cfRule type="expression" dxfId="70" priority="2">
      <x:formula>F4="Needs Review"</x:formula>
    </x:cfRule>
    <x:cfRule type="expression" dxfId="71" priority="3">
      <x:formula>F4="In Progress"</x:formula>
    </x:cfRule>
  </x:conditionalFormatting>
  <x:dataValidations count="1">
    <x:dataValidation type="list" sqref="F4:F39">
      <x:formula1>"Not Started,In Progress,Validated,Needs Review"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6" hidden="0" customWidth="1"/>
    <x:col min="3" max="3" width="26" hidden="0" customWidth="1"/>
    <x:col min="4" max="4" width="42" hidden="0" customWidth="1"/>
    <x:col min="5" max="5" width="18" hidden="0" customWidth="1"/>
  </x:cols>
  <x:sheetData>
    <x:row r="1" ht="26" customHeight="1">
      <x:c r="A1" s="6" t="str">
        <x:v>Final Prepared-State Reconciliation</x:v>
      </x:c>
      <x:c r="B1" s="6"/>
      <x:c r="C1" s="6"/>
      <x:c r="D1" s="6"/>
      <x:c r="E1" s="6"/>
    </x:row>
    <x:row r="3" ht="30" customHeight="1">
      <x:c r="A3" s="16" t="str">
        <x:v>ValidationItem</x:v>
      </x:c>
      <x:c r="B3" s="16" t="str">
        <x:v>Expected</x:v>
      </x:c>
      <x:c r="C3" s="16" t="str">
        <x:v>LearnerResult</x:v>
      </x:c>
      <x:c r="D3" s="16" t="str">
        <x:v>Difference/Comment</x:v>
      </x:c>
      <x:c r="E3" s="16" t="str">
        <x:v>Status</x:v>
      </x:c>
    </x:row>
    <x:row r="4">
      <x:c r="A4" s="24" t="str">
        <x:v>Regions_Prepared rows</x:v>
      </x:c>
      <x:c r="B4" s="24" t="str">
        <x:v>4</x:v>
      </x:c>
      <x:c r="C4" s="24" t="str"/>
      <x:c r="D4" s="24" t="str">
        <x:f>IF(OR(B4="",C4=""),"",IFERROR(C4-B4,"Check text/format"))</x:f>
      </x:c>
      <x:c r="E4" s="24" t="str">
        <x:v>Not Started</x:v>
      </x:c>
    </x:row>
    <x:row r="5">
      <x:c r="A5" s="24" t="str">
        <x:v>Plants_Prepared rows</x:v>
      </x:c>
      <x:c r="B5" s="24" t="str">
        <x:v>12</x:v>
      </x:c>
      <x:c r="C5" s="24" t="str"/>
      <x:c r="D5" s="24" t="str">
        <x:f>IF(OR(B5="",C5=""),"",IFERROR(C5-B5,"Check text/format"))</x:f>
      </x:c>
      <x:c r="E5" s="24" t="str">
        <x:v>Not Started</x:v>
      </x:c>
    </x:row>
    <x:row r="6">
      <x:c r="A6" s="24" t="str">
        <x:v>Generation_Prepared rows</x:v>
      </x:c>
      <x:c r="B6" s="24" t="str">
        <x:v>1012</x:v>
      </x:c>
      <x:c r="C6" s="24" t="str"/>
      <x:c r="D6" s="24" t="str">
        <x:f>IF(OR(B6="",C6=""),"",IFERROR(C6-B6,"Check text/format"))</x:f>
      </x:c>
      <x:c r="E6" s="24" t="str">
        <x:v>Not Started</x:v>
      </x:c>
    </x:row>
    <x:row r="7">
      <x:c r="A7" s="24" t="str">
        <x:v>Generation actual MWh</x:v>
      </x:c>
      <x:c r="B7" s="24" t="str">
        <x:v>2088673.20</x:v>
      </x:c>
      <x:c r="C7" s="24" t="str"/>
      <x:c r="D7" s="24" t="str">
        <x:f>IF(OR(B7="",C7=""),"",IFERROR(C7-B7,"Check text/format"))</x:f>
      </x:c>
      <x:c r="E7" s="24" t="str">
        <x:v>Not Started</x:v>
      </x:c>
    </x:row>
    <x:row r="8">
      <x:c r="A8" s="24" t="str">
        <x:v>Generation forecast MWh</x:v>
      </x:c>
      <x:c r="B8" s="24" t="str">
        <x:v>2077142.54</x:v>
      </x:c>
      <x:c r="C8" s="24" t="str"/>
      <x:c r="D8" s="24" t="str">
        <x:f>IF(OR(B8="",C8=""),"",IFERROR(C8-B8,"Check text/format"))</x:f>
      </x:c>
      <x:c r="E8" s="24" t="str">
        <x:v>Not Started</x:v>
      </x:c>
    </x:row>
    <x:row r="9">
      <x:c r="A9" s="24" t="str">
        <x:v>Generation variance MWh</x:v>
      </x:c>
      <x:c r="B9" s="24" t="str">
        <x:v>11530.66</x:v>
      </x:c>
      <x:c r="C9" s="24" t="str"/>
      <x:c r="D9" s="24" t="str">
        <x:f>IF(OR(B9="",C9=""),"",IFERROR(C9-B9,"Check text/format"))</x:f>
      </x:c>
      <x:c r="E9" s="24" t="str">
        <x:v>Not Started</x:v>
      </x:c>
    </x:row>
    <x:row r="10">
      <x:c r="A10" s="24" t="str">
        <x:v>Maintenance_Prepared rows</x:v>
      </x:c>
      <x:c r="B10" s="24" t="str">
        <x:v>23</x:v>
      </x:c>
      <x:c r="C10" s="24" t="str"/>
      <x:c r="D10" s="24" t="str">
        <x:f>IF(OR(B10="",C10=""),"",IFERROR(C10-B10,"Check text/format"))</x:f>
      </x:c>
      <x:c r="E10" s="24" t="str">
        <x:v>Not Started</x:v>
      </x:c>
    </x:row>
    <x:row r="11">
      <x:c r="A11" s="24" t="str">
        <x:v>Maintenance error-audit rows</x:v>
      </x:c>
      <x:c r="B11" s="24" t="str">
        <x:v>3</x:v>
      </x:c>
      <x:c r="C11" s="24" t="str"/>
      <x:c r="D11" s="24" t="str">
        <x:f>IF(OR(B11="",C11=""),"",IFERROR(C11-B11,"Check text/format"))</x:f>
      </x:c>
      <x:c r="E11" s="24" t="str">
        <x:v>Not Started</x:v>
      </x:c>
    </x:row>
    <x:row r="12">
      <x:c r="A12" s="24" t="str">
        <x:v>Maintenance total cost USD</x:v>
      </x:c>
      <x:c r="B12" s="24" t="str">
        <x:v>50536.50</x:v>
      </x:c>
      <x:c r="C12" s="24" t="str"/>
      <x:c r="D12" s="24" t="str">
        <x:f>IF(OR(B12="",C12=""),"",IFERROR(C12-B12,"Check text/format"))</x:f>
      </x:c>
      <x:c r="E12" s="24" t="str">
        <x:v>Not Started</x:v>
      </x:c>
    </x:row>
    <x:row r="13">
      <x:c r="A13" s="24" t="str">
        <x:v>Maintenance total duration hours</x:v>
      </x:c>
      <x:c r="B13" s="24" t="str">
        <x:v>86.00</x:v>
      </x:c>
      <x:c r="C13" s="24" t="str"/>
      <x:c r="D13" s="24" t="str">
        <x:f>IF(OR(B13="",C13=""),"",IFERROR(C13-B13,"Check text/format"))</x:f>
      </x:c>
      <x:c r="E13" s="24" t="str">
        <x:v>Not Started</x:v>
      </x:c>
    </x:row>
    <x:row r="14">
      <x:c r="A14" s="24" t="str">
        <x:v>Targets_Prepared rows</x:v>
      </x:c>
      <x:c r="B14" s="24" t="str">
        <x:v>69</x:v>
      </x:c>
      <x:c r="C14" s="24" t="str"/>
      <x:c r="D14" s="24" t="str">
        <x:f>IF(OR(B14="",C14=""),"",IFERROR(C14-B14,"Check text/format"))</x:f>
      </x:c>
      <x:c r="E14" s="24" t="str">
        <x:v>Not Started</x:v>
      </x:c>
    </x:row>
    <x:row r="15">
      <x:c r="A15" s="24" t="str">
        <x:v>Suppliers_Prepared rows</x:v>
      </x:c>
      <x:c r="B15" s="24" t="str">
        <x:v>12</x:v>
      </x:c>
      <x:c r="C15" s="24" t="str"/>
      <x:c r="D15" s="24" t="str">
        <x:f>IF(OR(B15="",C15=""),"",IFERROR(C15-B15,"Check text/format"))</x:f>
      </x:c>
      <x:c r="E15" s="24" t="str">
        <x:v>Not Started</x:v>
      </x:c>
    </x:row>
    <x:row r="16">
      <x:c r="A16" s="24" t="str">
        <x:v>SupplierActivity_Prepared rows</x:v>
      </x:c>
      <x:c r="B16" s="24" t="str">
        <x:v>36</x:v>
      </x:c>
      <x:c r="C16" s="24" t="str"/>
      <x:c r="D16" s="24" t="str">
        <x:f>IF(OR(B16="",C16=""),"",IFERROR(C16-B16,"Check text/format"))</x:f>
      </x:c>
      <x:c r="E16" s="24" t="str">
        <x:v>Not Started</x:v>
      </x:c>
    </x:row>
    <x:row r="17">
      <x:c r="A17" s="24" t="str">
        <x:v>Supplier matched rows</x:v>
      </x:c>
      <x:c r="B17" s="24" t="str">
        <x:v>30</x:v>
      </x:c>
      <x:c r="C17" s="24" t="str"/>
      <x:c r="D17" s="24" t="str">
        <x:f>IF(OR(B17="",C17=""),"",IFERROR(C17-B17,"Check text/format"))</x:f>
      </x:c>
      <x:c r="E17" s="24" t="str">
        <x:v>Not Started</x:v>
      </x:c>
    </x:row>
    <x:row r="18">
      <x:c r="A18" s="24" t="str">
        <x:v>Supplier unmatched rows</x:v>
      </x:c>
      <x:c r="B18" s="24" t="str">
        <x:v>6</x:v>
      </x:c>
      <x:c r="C18" s="24" t="str"/>
      <x:c r="D18" s="24" t="str">
        <x:f>IF(OR(B18="",C18=""),"",IFERROR(C18-B18,"Check text/format"))</x:f>
      </x:c>
      <x:c r="E18" s="24" t="str">
        <x:v>Not Started</x:v>
      </x:c>
    </x:row>
    <x:row r="19">
      <x:c r="A19" s="24" t="str">
        <x:v>Weather_Prepared rows</x:v>
      </x:c>
      <x:c r="B19" s="24" t="str">
        <x:v>20</x:v>
      </x:c>
      <x:c r="C19" s="24" t="str"/>
      <x:c r="D19" s="24" t="str">
        <x:f>IF(OR(B19="",C19=""),"",IFERROR(C19-B19,"Check text/format"))</x:f>
      </x:c>
      <x:c r="E19" s="24" t="str">
        <x:v>Not Started</x:v>
      </x:c>
    </x:row>
    <x:row r="20">
      <x:c r="A20" s="24" t="str">
        <x:v>Weather nested alerts</x:v>
      </x:c>
      <x:c r="B20" s="24" t="str">
        <x:v>6</x:v>
      </x:c>
      <x:c r="C20" s="24" t="str"/>
      <x:c r="D20" s="24" t="str">
        <x:f>IF(OR(B20="",C20=""),"",IFERROR(C20-B20,"Check text/format"))</x:f>
      </x:c>
      <x:c r="E20" s="24" t="str">
        <x:v>Not Started</x:v>
      </x:c>
    </x:row>
    <x:row r="21">
      <x:c r="A21" s="24" t="str">
        <x:v>ApiOperations_Prepared rows</x:v>
      </x:c>
      <x:c r="B21" s="24" t="str">
        <x:v>28</x:v>
      </x:c>
      <x:c r="C21" s="24" t="str"/>
      <x:c r="D21" s="24" t="str">
        <x:f>IF(OR(B21="",C21=""),"",IFERROR(C21-B21,"Check text/format"))</x:f>
      </x:c>
      <x:c r="E21" s="24" t="str">
        <x:v>Not Started</x:v>
      </x:c>
    </x:row>
    <x:row r="22">
      <x:c r="A22" s="24" t="str">
        <x:v>Date_Prepared rows</x:v>
      </x:c>
      <x:c r="B22" s="24" t="str">
        <x:v>92</x:v>
      </x:c>
      <x:c r="C22" s="24" t="str"/>
      <x:c r="D22" s="24" t="str">
        <x:f>IF(OR(B22="",C22=""),"",IFERROR(C22-B22,"Check text/format"))</x:f>
      </x:c>
      <x:c r="E22" s="24" t="str">
        <x:v>Not Started</x:v>
      </x:c>
    </x:row>
    <x:row r="23">
      <x:c r="A23" s="24" t="str">
        <x:v>Time_Prepared rows</x:v>
      </x:c>
      <x:c r="B23" s="24" t="str">
        <x:v>96</x:v>
      </x:c>
      <x:c r="C23" s="24" t="str"/>
      <x:c r="D23" s="24" t="str">
        <x:f>IF(OR(B23="",C23=""),"",IFERROR(C23-B23,"Check text/format"))</x:f>
      </x:c>
      <x:c r="E23" s="24" t="str">
        <x:v>Not Started</x:v>
      </x:c>
    </x:row>
    <x:row r="24">
      <x:c r="A24" s="24" t="str">
        <x:v>SQL Q3 Range rows</x:v>
      </x:c>
      <x:c r="B24" s="24" t="str">
        <x:v>97152</x:v>
      </x:c>
      <x:c r="C24" s="24" t="str"/>
      <x:c r="D24" s="24" t="str">
        <x:f>IF(OR(B24="",C24=""),"",IFERROR(C24-B24,"Check text/format"))</x:f>
      </x:c>
      <x:c r="E24" s="24" t="str">
        <x:v>Not Started</x:v>
      </x:c>
    </x:row>
    <x:row r="25">
      <x:c r="A25" s="24" t="str">
        <x:v>SQL Q3 Actual MWh</x:v>
      </x:c>
      <x:c r="B25" s="24" t="str">
        <x:v>2084353.3725</x:v>
      </x:c>
      <x:c r="C25" s="24" t="str"/>
      <x:c r="D25" s="24" t="str">
        <x:f>IF(OR(B25="",C25=""),"",IFERROR(C25-B25,"Check text/format"))</x:f>
      </x:c>
      <x:c r="E25" s="24" t="str">
        <x:v>Not Started</x:v>
      </x:c>
    </x:row>
    <x:row r="26">
      <x:c r="A26" s="24" t="str">
        <x:v>SQL Q3 Forecast MWh</x:v>
      </x:c>
      <x:c r="B26" s="24" t="str">
        <x:v>2084352.9967</x:v>
      </x:c>
      <x:c r="C26" s="24" t="str"/>
      <x:c r="D26" s="24" t="str">
        <x:f>IF(OR(B26="",C26=""),"",IFERROR(C26-B26,"Check text/format"))</x:f>
      </x:c>
      <x:c r="E26" s="24" t="str">
        <x:v>Not Started</x:v>
      </x:c>
    </x:row>
    <x:row r="27">
      <x:c r="A27" s="24" t="str">
        <x:v>SQL Q3 Variance MWh</x:v>
      </x:c>
      <x:c r="B27" s="24" t="str">
        <x:v>0.3758</x:v>
      </x:c>
      <x:c r="C27" s="24" t="str"/>
      <x:c r="D27" s="24" t="str">
        <x:f>IF(OR(B27="",C27=""),"",IFERROR(C27-B27,"Check text/format"))</x:f>
      </x:c>
      <x:c r="E27" s="24" t="str">
        <x:v>Not Started</x:v>
      </x:c>
    </x:row>
  </x:sheetData>
  <x:mergeCells>
    <x:mergeCell ref="A1:E1"/>
  </x:mergeCells>
  <x:conditionalFormatting sqref="E4:E27">
    <x:cfRule type="expression" dxfId="72" priority="1">
      <x:formula>E4="Validated"</x:formula>
    </x:cfRule>
    <x:cfRule type="expression" dxfId="73" priority="2">
      <x:formula>E4="Needs Review"</x:formula>
    </x:cfRule>
    <x:cfRule type="expression" dxfId="74" priority="3">
      <x:formula>E4="In Progress"</x:formula>
    </x:cfRule>
  </x:conditionalFormatting>
  <x:dataValidations count="1">
    <x:dataValidation type="list" sqref="E4:E27">
      <x:formula1>"Not Started,In Progress,Validated,Needs Review"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74" hidden="0" customWidth="1"/>
    <x:col min="2" max="2" width="40" hidden="0" customWidth="1"/>
    <x:col min="3" max="3" width="52" hidden="0" customWidth="1"/>
    <x:col min="4" max="4" width="66" hidden="0" customWidth="1"/>
    <x:col min="5" max="5" width="18" hidden="0" customWidth="1"/>
  </x:cols>
  <x:sheetData>
    <x:row r="1" ht="26" customHeight="1">
      <x:c r="A1" s="6" t="str">
        <x:v>Module Three Analytical Challenge</x:v>
      </x:c>
      <x:c r="B1" s="6"/>
      <x:c r="C1" s="6"/>
      <x:c r="D1" s="6"/>
      <x:c r="E1" s="6"/>
    </x:row>
    <x:row r="3" ht="30" customHeight="1">
      <x:c r="A3" s="16" t="str">
        <x:v>Scenario</x:v>
      </x:c>
      <x:c r="B3" s="16" t="str">
        <x:v>LearnerDecision</x:v>
      </x:c>
      <x:c r="C3" s="16" t="str">
        <x:v>Evidence</x:v>
      </x:c>
      <x:c r="D3" s="16" t="str">
        <x:v>ProfessionalReasoning</x:v>
      </x:c>
      <x:c r="E3" s="16" t="str">
        <x:v>Status</x:v>
      </x:c>
    </x:row>
    <x:row r="4">
      <x:c r="A4" s="24" t="str">
        <x:v>A new October target column arrives. Which unpivot pattern should you approve and why?</x:v>
      </x:c>
      <x:c r="B4" s="24" t="str"/>
      <x:c r="C4" s="24" t="str"/>
      <x:c r="D4" s="24" t="str"/>
      <x:c r="E4" s="24" t="str">
        <x:v>Not Started</x:v>
      </x:c>
    </x:row>
    <x:row r="5">
      <x:c r="A5" s="24" t="str">
        <x:v>A generation value is 'not_available'. Why is replacing it with zero analytically unsafe?</x:v>
      </x:c>
      <x:c r="B5" s="24" t="str"/>
      <x:c r="C5" s="24" t="str"/>
      <x:c r="D5" s="24" t="str"/>
      <x:c r="E5" s="24" t="str">
        <x:v>Not Started</x:v>
      </x:c>
    </x:row>
    <x:row r="6">
      <x:c r="A6" s="24" t="str">
        <x:v>A folder combine returns only 682 rows after a layout change. What layer should you investigate first?</x:v>
      </x:c>
      <x:c r="B6" s="24" t="str"/>
      <x:c r="C6" s="24" t="str"/>
      <x:c r="D6" s="24" t="str"/>
      <x:c r="E6" s="24" t="str">
        <x:v>Not Started</x:v>
      </x:c>
    </x:row>
    <x:row r="7">
      <x:c r="A7" s="24" t="str">
        <x:v>A fuzzy supplier match resolves an unfamiliar vendor with a low similarity score. What evidence is required before accepting it?</x:v>
      </x:c>
      <x:c r="B7" s="24" t="str"/>
      <x:c r="C7" s="24" t="str"/>
      <x:c r="D7" s="24" t="str"/>
      <x:c r="E7" s="24" t="str">
        <x:v>Not Started</x:v>
      </x:c>
    </x:row>
    <x:row r="8">
      <x:c r="A8" s="24" t="str">
        <x:v>A step makes View Native Query unavailable. Does that prove every upstream step stopped folding?</x:v>
      </x:c>
      <x:c r="B8" s="24" t="str"/>
      <x:c r="C8" s="24" t="str"/>
      <x:c r="D8" s="24" t="str"/>
      <x:c r="E8" s="24" t="str">
        <x:v>Not Started</x:v>
      </x:c>
    </x:row>
    <x:row r="9">
      <x:c r="A9" s="24" t="str">
        <x:v>A Table.Buffer branch runs slower. What conclusion can and cannot be made?</x:v>
      </x:c>
      <x:c r="B9" s="24" t="str"/>
      <x:c r="C9" s="24" t="str"/>
      <x:c r="D9" s="24" t="str"/>
      <x:c r="E9" s="24" t="str">
        <x:v>Not Started</x:v>
      </x:c>
    </x:row>
    <x:row r="10">
      <x:c r="A10" s="24" t="str">
        <x:v>Formula.Firewall appears while a file query references a SQL-derived list. What is the privacy risk and architectural repair?</x:v>
      </x:c>
      <x:c r="B10" s="24" t="str"/>
      <x:c r="C10" s="24" t="str"/>
      <x:c r="D10" s="24" t="str"/>
      <x:c r="E10" s="24" t="str">
        <x:v>Not Started</x:v>
      </x:c>
    </x:row>
    <x:row r="11">
      <x:c r="A11" s="24" t="str">
        <x:v>RangeStart and RangeEnd both use inclusive equality. What partition risk exists?</x:v>
      </x:c>
      <x:c r="B11" s="24" t="str"/>
      <x:c r="C11" s="24" t="str"/>
      <x:c r="D11" s="24" t="str"/>
      <x:c r="E11" s="24" t="str">
        <x:v>Not Started</x:v>
      </x:c>
    </x:row>
    <x:row r="12">
      <x:c r="A12" s="24" t="str">
        <x:v>The prepared tables look like dimensions and facts. Why should Module 3 stop before creating relationships?</x:v>
      </x:c>
      <x:c r="B12" s="24" t="str"/>
      <x:c r="C12" s="24" t="str"/>
      <x:c r="D12" s="24" t="str"/>
      <x:c r="E12" s="24" t="str">
        <x:v>Not Started</x:v>
      </x:c>
    </x:row>
  </x:sheetData>
  <x:mergeCells>
    <x:mergeCell ref="A1:E1"/>
  </x:mergeCells>
  <x:conditionalFormatting sqref="E4:E12">
    <x:cfRule type="expression" dxfId="75" priority="1">
      <x:formula>E4="Validated"</x:formula>
    </x:cfRule>
    <x:cfRule type="expression" dxfId="76" priority="2">
      <x:formula>E4="Needs Review"</x:formula>
    </x:cfRule>
    <x:cfRule type="expression" dxfId="77" priority="3">
      <x:formula>E4="In Progress"</x:formula>
    </x:cfRule>
  </x:conditionalFormatting>
  <x:dataValidations count="1">
    <x:dataValidation type="list" sqref="E4:E12">
      <x:formula1>"Not Started,In Progress,Validated,Needs Review"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2" hidden="0" customWidth="1"/>
    <x:col min="3" max="3" width="18" hidden="0" customWidth="1"/>
    <x:col min="4" max="4" width="44" hidden="0" customWidth="1"/>
    <x:col min="5" max="5" width="4" hidden="0" customWidth="1"/>
    <x:col min="6" max="6" width="28" hidden="0" customWidth="1"/>
    <x:col min="7" max="7" width="18" hidden="0" customWidth="1"/>
  </x:cols>
  <x:sheetData>
    <x:row r="1" ht="26" customHeight="1">
      <x:c r="A1" s="6" t="str">
        <x:v>Module Three Stage Validation Tracker</x:v>
      </x:c>
      <x:c r="B1" s="6"/>
      <x:c r="C1" s="6"/>
      <x:c r="D1" s="6"/>
      <x:c r="E1" s="6"/>
      <x:c r="F1" s="6"/>
      <x:c r="G1" s="6"/>
    </x:row>
    <x:row r="3" ht="30" customHeight="1">
      <x:c r="A3" s="16" t="str">
        <x:v>Checkpoint</x:v>
      </x:c>
      <x:c r="B3" s="16" t="str">
        <x:v>EvidenceRequired</x:v>
      </x:c>
      <x:c r="C3" s="16" t="str">
        <x:v>LearnerStatus</x:v>
      </x:c>
      <x:c r="D3" s="16" t="str">
        <x:v>Notes</x:v>
      </x:c>
      <x:c r="E3" s="16" t="str"/>
      <x:c r="F3" s="16" t="str">
        <x:v>Progress Summary</x:v>
      </x:c>
      <x:c r="G3" s="16" t="str">
        <x:v>Value</x:v>
      </x:c>
    </x:row>
    <x:row r="4">
      <x:c r="A4" s="24" t="str">
        <x:v>Stage Validation 1 — Environment &amp; Source Fingerprint</x:v>
      </x:c>
      <x:c r="B4" s="24" t="str">
        <x:v>Environment, versions, source paths/counts/fingerprints</x:v>
      </x:c>
      <x:c r="C4" s="24" t="str">
        <x:v>Not Started</x:v>
      </x:c>
      <x:c r="D4" s="24" t="str"/>
      <x:c r="E4" s="24" t="str"/>
      <x:c r="F4" s="32" t="str">
        <x:v>Validated checkpoints</x:v>
      </x:c>
      <x:c r="G4" s="38" t="n">
        <x:f>COUNTIF(C4:C13,"Validated")</x:f>
        <x:v>0</x:v>
      </x:c>
    </x:row>
    <x:row r="5">
      <x:c r="A5" s="24" t="str">
        <x:v>Stage Validation 2 — Profiling &amp; Types</x:v>
      </x:c>
      <x:c r="B5" s="24" t="str">
        <x:v>Entire-dataset profiling, types and locale decisions reconcile</x:v>
      </x:c>
      <x:c r="C5" s="24" t="str">
        <x:v>Not Started</x:v>
      </x:c>
      <x:c r="D5" s="24" t="str"/>
      <x:c r="E5" s="24" t="str"/>
      <x:c r="F5" s="32" t="str">
        <x:v>Total checkpoints</x:v>
      </x:c>
      <x:c r="G5" s="38" t="n">
        <x:v>10</x:v>
      </x:c>
    </x:row>
    <x:row r="6">
      <x:c r="A6" s="24" t="str">
        <x:v>Stage Validation 3 — Cleaning &amp; Column Operations</x:v>
      </x:c>
      <x:c r="B6" s="24" t="str">
        <x:v>Meaning-preserving cleaning, error/null/duplicate and derived-column evidence</x:v>
      </x:c>
      <x:c r="C6" s="24" t="str">
        <x:v>Not Started</x:v>
      </x:c>
      <x:c r="D6" s="24" t="str"/>
      <x:c r="E6" s="24" t="str"/>
      <x:c r="F6" s="32" t="str">
        <x:v>Completion %</x:v>
      </x:c>
      <x:c r="G6" s="39" t="n">
        <x:f>IF(G5=0,0,G4/G5)</x:f>
        <x:v>0</x:v>
      </x:c>
    </x:row>
    <x:row r="7">
      <x:c r="A7" s="24" t="str">
        <x:v>Stage Validation 4 — Reshaping &amp; Combining</x:v>
      </x:c>
      <x:c r="B7" s="24" t="str">
        <x:v>Pivot/unpivot/append/all joins/fuzzy reconciliation</x:v>
      </x:c>
      <x:c r="C7" s="24" t="str">
        <x:v>Not Started</x:v>
      </x:c>
      <x:c r="D7" s="24" t="str"/>
      <x:c r="E7" s="24" t="str"/>
      <x:c r="F7" s="24" t="str"/>
      <x:c r="G7" s="24" t="str"/>
    </x:row>
    <x:row r="8">
      <x:c r="A8" s="24" t="str">
        <x:v>Stage Validation 5 — Folder, JSON/XML &amp; API</x:v>
      </x:c>
      <x:c r="B8" s="24" t="str">
        <x:v>Helper chain, nested parsing and 28-row pagination reconcile</x:v>
      </x:c>
      <x:c r="C8" s="24" t="str">
        <x:v>Not Started</x:v>
      </x:c>
      <x:c r="D8" s="24" t="str"/>
      <x:c r="E8" s="24" t="str"/>
      <x:c r="F8" s="24" t="str"/>
      <x:c r="G8" s="24" t="str"/>
    </x:row>
    <x:row r="9">
      <x:c r="A9" s="24" t="str">
        <x:v>Stage Validation 6 — Reuse &amp; M</x:v>
      </x:c>
      <x:c r="B9" s="24" t="str">
        <x:v>Reference/duplicate, parameters, functions and M concepts explained</x:v>
      </x:c>
      <x:c r="C9" s="24" t="str">
        <x:v>Not Started</x:v>
      </x:c>
      <x:c r="D9" s="24" t="str"/>
      <x:c r="E9" s="24" t="str"/>
      <x:c r="F9" s="24" t="str"/>
      <x:c r="G9" s="24" t="str"/>
    </x:row>
    <x:row r="10">
      <x:c r="A10" s="24" t="str">
        <x:v>Stage Validation 7 — Folding &amp; Performance</x:v>
      </x:c>
      <x:c r="B10" s="24" t="str">
        <x:v>Folded/unfolded/native branches return equivalent business results</x:v>
      </x:c>
      <x:c r="C10" s="24" t="str">
        <x:v>Not Started</x:v>
      </x:c>
      <x:c r="D10" s="24" t="str"/>
      <x:c r="E10" s="24" t="str"/>
      <x:c r="F10" s="24" t="str"/>
      <x:c r="G10" s="24" t="str"/>
    </x:row>
    <x:row r="11">
      <x:c r="A11" s="24" t="str">
        <x:v>Stage Validation 8 — Resilience &amp; Privacy</x:v>
      </x:c>
      <x:c r="B11" s="24" t="str">
        <x:v>Five broken variants recovered and privacy/firewall evidence recorded</x:v>
      </x:c>
      <x:c r="C11" s="24" t="str">
        <x:v>Not Started</x:v>
      </x:c>
      <x:c r="D11" s="24" t="str"/>
      <x:c r="E11" s="24" t="str"/>
      <x:c r="F11" s="24" t="str"/>
      <x:c r="G11" s="24" t="str"/>
    </x:row>
    <x:row r="12">
      <x:c r="A12" s="24" t="str">
        <x:v>Stage Validation 9 — Incremental-Refresh Preparation</x:v>
      </x:c>
      <x:c r="B12" s="24" t="str">
        <x:v>&gt;= RangeStart and &lt; RangeEnd fold to SQL; no Service policy configured</x:v>
      </x:c>
      <x:c r="C12" s="24" t="str">
        <x:v>Not Started</x:v>
      </x:c>
      <x:c r="D12" s="24" t="str"/>
      <x:c r="E12" s="24" t="str"/>
      <x:c r="F12" s="24" t="str"/>
      <x:c r="G12" s="24" t="str"/>
    </x:row>
    <x:row r="13">
      <x:c r="A13" s="24" t="str">
        <x:v>Stage Validation 10 — Final Prepared State</x:v>
      </x:c>
      <x:c r="B13" s="24" t="str">
        <x:v>Prepared outputs, query groups, load settings and validation all reconcile</x:v>
      </x:c>
      <x:c r="C13" s="24" t="str">
        <x:v>Not Started</x:v>
      </x:c>
      <x:c r="D13" s="24" t="str"/>
      <x:c r="E13" s="24" t="str"/>
      <x:c r="F13" s="24" t="str"/>
      <x:c r="G13" s="24" t="str"/>
    </x:row>
  </x:sheetData>
  <x:mergeCells>
    <x:mergeCell ref="A1:G1"/>
  </x:mergeCells>
  <x:conditionalFormatting sqref="C4:C13">
    <x:cfRule type="expression" dxfId="78" priority="1">
      <x:formula>C4="Validated"</x:formula>
    </x:cfRule>
    <x:cfRule type="expression" dxfId="79" priority="2">
      <x:formula>C4="Needs Review"</x:formula>
    </x:cfRule>
    <x:cfRule type="expression" dxfId="80" priority="3">
      <x:formula>C4="In Progress"</x:formula>
    </x:cfRule>
  </x:conditionalFormatting>
  <x:dataValidations count="1">
    <x:dataValidation type="list" sqref="C4:C13">
      <x:formula1>"Not Started,In Progress,Validated,Needs Review"</x:formula1>
    </x:dataValidation>
  </x:dataValidations>
  <x:pageMargins left="0.7" right="0.7" top="0.75" bottom="0.75" header="0.3" footer="0.3"/>
</x:worksheet>
</file>